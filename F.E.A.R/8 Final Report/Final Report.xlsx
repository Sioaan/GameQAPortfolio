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ioaan\Desktop\QA(Manual)\GameDev QA\F.E.A.R\8 Final Report\"/>
    </mc:Choice>
  </mc:AlternateContent>
  <xr:revisionPtr revIDLastSave="0" documentId="13_ncr:1_{AE2B0024-20AC-4523-8A45-1E477244E0DF}" xr6:coauthVersionLast="47" xr6:coauthVersionMax="47" xr10:uidLastSave="{00000000-0000-0000-0000-000000000000}"/>
  <bookViews>
    <workbookView xWindow="-120" yWindow="-120" windowWidth="29040" windowHeight="16440" firstSheet="2" activeTab="8" xr2:uid="{00000000-000D-0000-FFFF-FFFF00000000}"/>
  </bookViews>
  <sheets>
    <sheet name="Executive Summary" sheetId="1" r:id="rId1"/>
    <sheet name="Execution Data" sheetId="2" r:id="rId2"/>
    <sheet name="Defects" sheetId="3" r:id="rId3"/>
    <sheet name="Performance" sheetId="4" r:id="rId4"/>
    <sheet name="Compatibility" sheetId="5" r:id="rId5"/>
    <sheet name="Regression" sheetId="6" r:id="rId6"/>
    <sheet name="Checklist Summary" sheetId="7" r:id="rId7"/>
    <sheet name="Area Coverage" sheetId="8" r:id="rId8"/>
    <sheet name="Environment &amp; Scope" sheetId="9" r:id="rId9"/>
  </sheets>
  <calcPr calcId="191029"/>
</workbook>
</file>

<file path=xl/calcChain.xml><?xml version="1.0" encoding="utf-8"?>
<calcChain xmlns="http://schemas.openxmlformats.org/spreadsheetml/2006/main">
  <c r="E9" i="1" l="1"/>
  <c r="D13" i="8"/>
  <c r="C13" i="8"/>
  <c r="B13" i="8"/>
  <c r="E13" i="8" s="1"/>
  <c r="D12" i="8"/>
  <c r="C12" i="8"/>
  <c r="B12" i="8"/>
  <c r="E12" i="8" s="1"/>
  <c r="D11" i="8"/>
  <c r="C11" i="8"/>
  <c r="B11" i="8"/>
  <c r="E11" i="8" s="1"/>
  <c r="D10" i="8"/>
  <c r="C10" i="8"/>
  <c r="B10" i="8"/>
  <c r="E10" i="8" s="1"/>
  <c r="D9" i="8"/>
  <c r="C9" i="8"/>
  <c r="B9" i="8"/>
  <c r="E9" i="8" s="1"/>
  <c r="D8" i="8"/>
  <c r="C8" i="8"/>
  <c r="B8" i="8"/>
  <c r="E8" i="8" s="1"/>
  <c r="D7" i="8"/>
  <c r="C7" i="8"/>
  <c r="B7" i="8"/>
  <c r="E7" i="8" s="1"/>
  <c r="D6" i="8"/>
  <c r="C6" i="8"/>
  <c r="B6" i="8"/>
  <c r="E6" i="8" s="1"/>
  <c r="D5" i="8"/>
  <c r="C5" i="8"/>
  <c r="B5" i="8"/>
  <c r="E5" i="8" s="1"/>
  <c r="D4" i="8"/>
  <c r="C4" i="8"/>
  <c r="B4" i="8"/>
  <c r="E4" i="8" s="1"/>
  <c r="D3" i="8"/>
  <c r="C3" i="8"/>
  <c r="B3" i="8"/>
  <c r="E3" i="8" s="1"/>
  <c r="D2" i="8"/>
  <c r="C2" i="8"/>
  <c r="B2" i="8"/>
  <c r="E2" i="8" s="1"/>
  <c r="E8" i="1"/>
  <c r="E7" i="1"/>
  <c r="E6" i="1"/>
  <c r="E5" i="1"/>
  <c r="E4" i="1"/>
</calcChain>
</file>

<file path=xl/sharedStrings.xml><?xml version="1.0" encoding="utf-8"?>
<sst xmlns="http://schemas.openxmlformats.org/spreadsheetml/2006/main" count="1121" uniqueCount="364">
  <si>
    <t>F.E.A.R. - Final QA Report</t>
  </si>
  <si>
    <t>Project</t>
  </si>
  <si>
    <t>F.E.A.R. - First Encounter Assault Recon</t>
  </si>
  <si>
    <t>Metric</t>
  </si>
  <si>
    <t>Result</t>
  </si>
  <si>
    <t>Tester</t>
  </si>
  <si>
    <t>Sioaan</t>
  </si>
  <si>
    <t>Total test cases</t>
  </si>
  <si>
    <t>Test period</t>
  </si>
  <si>
    <t>2026-09-16 to 2026-09-19</t>
  </si>
  <si>
    <t>Passed</t>
  </si>
  <si>
    <t>Game version</t>
  </si>
  <si>
    <t>1.08</t>
  </si>
  <si>
    <t>Failed</t>
  </si>
  <si>
    <t>Distribution</t>
  </si>
  <si>
    <t>GOG</t>
  </si>
  <si>
    <t>Blocked</t>
  </si>
  <si>
    <t>OS</t>
  </si>
  <si>
    <t>Windows 11</t>
  </si>
  <si>
    <t>N/A</t>
  </si>
  <si>
    <t>Test scope</t>
  </si>
  <si>
    <t>Smoke, Gameplay, AI, Weapons, Physics, UI, Audio, Graphics, Save/Load, Input, Performance, Compatibility</t>
  </si>
  <si>
    <t>Unique confirmed defects</t>
  </si>
  <si>
    <t>Mods / patches</t>
  </si>
  <si>
    <t>None</t>
  </si>
  <si>
    <t>Executive summary</t>
  </si>
  <si>
    <t>The documented execution contains 92 test cases. Four are marked Failed: the Controls menu / keyboard settings issue is recorded in two test cases but represents one underlying defect; the high-FPS scenario is affected by an unexpected 30 FPS lock; and the controller test records that the game does not support controller input. Two unique confirmed defects are maintained in the Bug Report. Regression is planned but not executed because no fixed build was provided. Performance observations are based on recorded FPS values only; detailed 1% low, 0.1% low, CPU/GPU and VRAM measurements were not collected.</t>
  </si>
  <si>
    <t>Final assessment</t>
  </si>
  <si>
    <t>The test cycle is documented as completed for the executed scope. The remaining open risk areas are the two major/high defects and the unsupported controller input. Regression remains pending until an updated build is available, and the evidence register identifies where screenshots/videos should be attached to the portfolio.</t>
  </si>
  <si>
    <t>TC ID</t>
  </si>
  <si>
    <t>Area</t>
  </si>
  <si>
    <t>Title</t>
  </si>
  <si>
    <t>Status</t>
  </si>
  <si>
    <t>Severity</t>
  </si>
  <si>
    <t>Priority</t>
  </si>
  <si>
    <t>Repro</t>
  </si>
  <si>
    <t>Evidence</t>
  </si>
  <si>
    <t>Notes</t>
  </si>
  <si>
    <t>TC-SMK-01</t>
  </si>
  <si>
    <t>Smoke</t>
  </si>
  <si>
    <t>Game launch</t>
  </si>
  <si>
    <t>Pass</t>
  </si>
  <si>
    <t>-</t>
  </si>
  <si>
    <t>TC-SMK-02</t>
  </si>
  <si>
    <t>Main menu navigation</t>
  </si>
  <si>
    <t>TC-SMK-03</t>
  </si>
  <si>
    <t>Start New Game</t>
  </si>
  <si>
    <t>TC-SMK-04</t>
  </si>
  <si>
    <t>Player movement</t>
  </si>
  <si>
    <t>TC-SMK-05</t>
  </si>
  <si>
    <t>Camera and mouse look</t>
  </si>
  <si>
    <t>TC-SMK-06</t>
  </si>
  <si>
    <t>Weapon firing</t>
  </si>
  <si>
    <t>TC-SMK-07</t>
  </si>
  <si>
    <t>Weapon reload</t>
  </si>
  <si>
    <t>TC-SMK-08</t>
  </si>
  <si>
    <t>Interaction with environment</t>
  </si>
  <si>
    <t>TC-SMK-09</t>
  </si>
  <si>
    <t>Manual save</t>
  </si>
  <si>
    <t>TC-SMK-10</t>
  </si>
  <si>
    <t>Load saved game</t>
  </si>
  <si>
    <t>TC-SMK-11</t>
  </si>
  <si>
    <t>Normal game exit</t>
  </si>
  <si>
    <t>TC-SMK-12</t>
  </si>
  <si>
    <t>Relaunch after exit</t>
  </si>
  <si>
    <t>TC-GAMEPLAY-013</t>
  </si>
  <si>
    <t>GAMEPLAY</t>
  </si>
  <si>
    <t>Combat engagement</t>
  </si>
  <si>
    <t>TC-GAMEPLAY-014</t>
  </si>
  <si>
    <t>Taking damage during combat</t>
  </si>
  <si>
    <t>TC-GAMEPLAY-015</t>
  </si>
  <si>
    <t>TC-GAMEPLAY-016</t>
  </si>
  <si>
    <t>Weapon switching during gameplay</t>
  </si>
  <si>
    <t>TC-GAMEPLAY-017</t>
  </si>
  <si>
    <t>Checkpoint activation</t>
  </si>
  <si>
    <t>TC-GAMEPLAY-018</t>
  </si>
  <si>
    <t>Scripted event progression</t>
  </si>
  <si>
    <t>TC-GAMEPLAY-019</t>
  </si>
  <si>
    <t>Save and load during gameplay</t>
  </si>
  <si>
    <t>TC-GAMEPLAY-020</t>
  </si>
  <si>
    <t>Melee</t>
  </si>
  <si>
    <t>TC-GAMEPLAY-021</t>
  </si>
  <si>
    <t>Slow motion activation</t>
  </si>
  <si>
    <t>TC-WEAPON-022</t>
  </si>
  <si>
    <t>WEAPON</t>
  </si>
  <si>
    <t>Pickup weapon</t>
  </si>
  <si>
    <t>TC-WEAPON-023</t>
  </si>
  <si>
    <t>Fire weapon</t>
  </si>
  <si>
    <t>TC-WEAPON-024</t>
  </si>
  <si>
    <t>Reload partial magazine</t>
  </si>
  <si>
    <t>TC-WEAPON-025</t>
  </si>
  <si>
    <t>Reload empty magazine</t>
  </si>
  <si>
    <t>TC-WEAPON-026</t>
  </si>
  <si>
    <t>Switch during reload</t>
  </si>
  <si>
    <t>TC-WEAPON-027</t>
  </si>
  <si>
    <t>Ammo count</t>
  </si>
  <si>
    <t>TC-WEAPON-028</t>
  </si>
  <si>
    <t>Weapon sound</t>
  </si>
  <si>
    <t>TC-WEAPON-029</t>
  </si>
  <si>
    <t>Weapon recoil</t>
  </si>
  <si>
    <t>TC-AI-030</t>
  </si>
  <si>
    <t>AI</t>
  </si>
  <si>
    <t>Detect player</t>
  </si>
  <si>
    <t>TC-AI-031</t>
  </si>
  <si>
    <t>Lose player</t>
  </si>
  <si>
    <t>TC-AI-032</t>
  </si>
  <si>
    <t>Investigate last known position</t>
  </si>
  <si>
    <t>TC-AI-033</t>
  </si>
  <si>
    <t>Use cover</t>
  </si>
  <si>
    <t>TC-AI-034</t>
  </si>
  <si>
    <t>Navigate obstacle</t>
  </si>
  <si>
    <t>TC-AI-035</t>
  </si>
  <si>
    <t>React to gunfire</t>
  </si>
  <si>
    <t>TC-AI-036</t>
  </si>
  <si>
    <t>React to explosion</t>
  </si>
  <si>
    <t>TC-AI-037</t>
  </si>
  <si>
    <t>Die correctly</t>
  </si>
  <si>
    <t>TC-PHYS-038</t>
  </si>
  <si>
    <t>PHYS</t>
  </si>
  <si>
    <t>Player collision</t>
  </si>
  <si>
    <t>TC-PHYS-039</t>
  </si>
  <si>
    <t>Object collision</t>
  </si>
  <si>
    <t>TC-PHYS-040</t>
  </si>
  <si>
    <t>Push physics object</t>
  </si>
  <si>
    <t>TC-PHYS-041</t>
  </si>
  <si>
    <t>Shoot physics object</t>
  </si>
  <si>
    <t>TC-PHYS-042</t>
  </si>
  <si>
    <t>Explosion physics</t>
  </si>
  <si>
    <t>TC-PHYS-043</t>
  </si>
  <si>
    <t>Ragdoll</t>
  </si>
  <si>
    <t>TC-UI-044</t>
  </si>
  <si>
    <t>UI</t>
  </si>
  <si>
    <t>HUD health</t>
  </si>
  <si>
    <t>TC-UI-045</t>
  </si>
  <si>
    <t>HUD armor</t>
  </si>
  <si>
    <t>TC-UI-046</t>
  </si>
  <si>
    <t>HUD ammo</t>
  </si>
  <si>
    <t>TC-UI-047</t>
  </si>
  <si>
    <t>Main menu</t>
  </si>
  <si>
    <t>TC-UI-048</t>
  </si>
  <si>
    <t>Pause menu</t>
  </si>
  <si>
    <t>TC-UI-049</t>
  </si>
  <si>
    <t>Options menu</t>
  </si>
  <si>
    <t>TC-UI-050</t>
  </si>
  <si>
    <t>Controls menu</t>
  </si>
  <si>
    <t>Major</t>
  </si>
  <si>
    <t>High</t>
  </si>
  <si>
    <t>The issue was reproduced after entering in setting menu.</t>
  </si>
  <si>
    <t>TC-UI-051</t>
  </si>
  <si>
    <t>Text/subtitles</t>
  </si>
  <si>
    <t>TC-AUDIO-052</t>
  </si>
  <si>
    <t>AUDIO</t>
  </si>
  <si>
    <t>Weapon audio</t>
  </si>
  <si>
    <t>TC-AUDIO-053</t>
  </si>
  <si>
    <t>Footsteps</t>
  </si>
  <si>
    <t>TC-AUDIO-054</t>
  </si>
  <si>
    <t>Dialogue</t>
  </si>
  <si>
    <t>TC-AUDIO-055</t>
  </si>
  <si>
    <t>Radio</t>
  </si>
  <si>
    <t>TC-AUDIO-056</t>
  </si>
  <si>
    <t>Ambient sound</t>
  </si>
  <si>
    <t>TC-AUDIO-057</t>
  </si>
  <si>
    <t>Horror event audio</t>
  </si>
  <si>
    <t>TC-AUDIO-058</t>
  </si>
  <si>
    <t>Mute volume</t>
  </si>
  <si>
    <t>TC-GRAPHICS-059</t>
  </si>
  <si>
    <t>GRAPHICS</t>
  </si>
  <si>
    <t>1920x1080</t>
  </si>
  <si>
    <t>TC-GRAPHICS-060</t>
  </si>
  <si>
    <t>Fullscreen</t>
  </si>
  <si>
    <t>TC-GRAPHICS-061</t>
  </si>
  <si>
    <t>Windowed</t>
  </si>
  <si>
    <t>TC-GRAPHICS-062</t>
  </si>
  <si>
    <t>Aspect ratio</t>
  </si>
  <si>
    <t>TC-GRAPHICS-063</t>
  </si>
  <si>
    <t>Lighting</t>
  </si>
  <si>
    <t>TC-GRAPHICS-064</t>
  </si>
  <si>
    <t>Shadows</t>
  </si>
  <si>
    <t>TC-GRAPHICS-065</t>
  </si>
  <si>
    <t>Particles</t>
  </si>
  <si>
    <t>TC-GRAPHICS-066</t>
  </si>
  <si>
    <t>Effects</t>
  </si>
  <si>
    <t>TC-SAVE-067</t>
  </si>
  <si>
    <t>SAVE</t>
  </si>
  <si>
    <t>TC-SAVE-068</t>
  </si>
  <si>
    <t>Load save</t>
  </si>
  <si>
    <t>TC-SAVE-069</t>
  </si>
  <si>
    <t>Overwrite save</t>
  </si>
  <si>
    <t>TC-SAVE-070</t>
  </si>
  <si>
    <t>Quick save</t>
  </si>
  <si>
    <t>TC-SAVE-071</t>
  </si>
  <si>
    <t>Save during combat</t>
  </si>
  <si>
    <t>TC-SAVE-072</t>
  </si>
  <si>
    <t>Save near scripted event</t>
  </si>
  <si>
    <t>TC-SAVE-073</t>
  </si>
  <si>
    <t>Load after restart</t>
  </si>
  <si>
    <t>TC-SAVE-074</t>
  </si>
  <si>
    <t>Checkpoint after death</t>
  </si>
  <si>
    <t>TC-INPUT-075</t>
  </si>
  <si>
    <t>INPUT</t>
  </si>
  <si>
    <t>Keyboard bindings</t>
  </si>
  <si>
    <t>TC-INPUT-076</t>
  </si>
  <si>
    <t>Mouse movement</t>
  </si>
  <si>
    <t>TC-INPUT-077</t>
  </si>
  <si>
    <t>Mouse sensitivity</t>
  </si>
  <si>
    <t>TC-INPUT-078</t>
  </si>
  <si>
    <t>Invert Y</t>
  </si>
  <si>
    <t>TC-INPUT-079</t>
  </si>
  <si>
    <t>Mouse buttons</t>
  </si>
  <si>
    <t>TC-INPUT-080</t>
  </si>
  <si>
    <t>Alt-tab recovery</t>
  </si>
  <si>
    <t>TC-PERF-081</t>
  </si>
  <si>
    <t>PERF</t>
  </si>
  <si>
    <t>Idle scene</t>
  </si>
  <si>
    <t>TC-PERF-082</t>
  </si>
  <si>
    <t>Combat scene</t>
  </si>
  <si>
    <t>TC-PERF-083</t>
  </si>
  <si>
    <t>Explosion scene</t>
  </si>
  <si>
    <t>TC-PERF-084</t>
  </si>
  <si>
    <t>Heavy effects</t>
  </si>
  <si>
    <t>TC-PERF-085</t>
  </si>
  <si>
    <t>60 FPS cap</t>
  </si>
  <si>
    <t>TC-PERF-086</t>
  </si>
  <si>
    <t>High FPS test</t>
  </si>
  <si>
    <t>major</t>
  </si>
  <si>
    <t>The issue was reproduced during normal gameplay. The FPS remained locked at 30 until the  graphics settings were changed and game was relaunched.</t>
  </si>
  <si>
    <t>TC-COMPAT-087</t>
  </si>
  <si>
    <t>COMPAT</t>
  </si>
  <si>
    <t>Launch on OS</t>
  </si>
  <si>
    <t>TC-COMPAT-088</t>
  </si>
  <si>
    <t>Resolution</t>
  </si>
  <si>
    <t>TC-COMPAT-089</t>
  </si>
  <si>
    <t>Audio device</t>
  </si>
  <si>
    <t>TC-COMPAT-090</t>
  </si>
  <si>
    <t>Alt-tab</t>
  </si>
  <si>
    <t>TC-COMPAT-091</t>
  </si>
  <si>
    <t>TC-COMPAT-092</t>
  </si>
  <si>
    <t>Controller  available</t>
  </si>
  <si>
    <t>low</t>
  </si>
  <si>
    <t>Confirmed Defects</t>
  </si>
  <si>
    <t>Bug ID</t>
  </si>
  <si>
    <t>Related TC</t>
  </si>
  <si>
    <t>Category</t>
  </si>
  <si>
    <t>Reproducibility</t>
  </si>
  <si>
    <t>Summary</t>
  </si>
  <si>
    <t>Expected</t>
  </si>
  <si>
    <t>Actual</t>
  </si>
  <si>
    <t>BUG-UI-001</t>
  </si>
  <si>
    <t>Custom control settings reset after opening Options</t>
  </si>
  <si>
    <t>5/5</t>
  </si>
  <si>
    <t>Open</t>
  </si>
  <si>
    <t>Confirmed during recorded execution.</t>
  </si>
  <si>
    <t>Custom control settings should remain unchanged after opening the Options menu.</t>
  </si>
  <si>
    <t>The key binding was changed successfully, but the custom control settings were reset after opening the Options menu.</t>
  </si>
  <si>
    <t>Underlying issue is also observed by TC-INPUT-075.</t>
  </si>
  <si>
    <t>BUG-PERF-001</t>
  </si>
  <si>
    <t>PERFORMANCE</t>
  </si>
  <si>
    <t>Game unexpectedly locks FPS to 30</t>
  </si>
  <si>
    <t>The game should maintain the configured frame rate above 30 FPS when no 30 FPS limit is enabled.</t>
  </si>
  <si>
    <t>The game was unexpectedly limited to 30 FPS despite the FPS limit being disabled.</t>
  </si>
  <si>
    <t>Observed in the high-FPS performance scenario.</t>
  </si>
  <si>
    <t>Compatibility limitation: TC-COMPAT-092 reports that controller input is not supported. It is not counted as a confirmed defect in this Final Report because controller support is not part of the documented keyboard/mouse test environment or the stated project requirements.</t>
  </si>
  <si>
    <t>Performance Summary</t>
  </si>
  <si>
    <t>Test Case</t>
  </si>
  <si>
    <t>Scenario</t>
  </si>
  <si>
    <t>Observed Result</t>
  </si>
  <si>
    <t>FPS Measurement</t>
  </si>
  <si>
    <t>Related Bug</t>
  </si>
  <si>
    <t>The game ran smoothly while the player remained idle, with stable FPS and no noticeable stuttering or freezes.</t>
  </si>
  <si>
    <t>60 FPS</t>
  </si>
  <si>
    <t>The game remained responsive during combat, and FPS stayed stable without noticeable stuttering or significant frame drops.</t>
  </si>
  <si>
    <t>The explosion effects played correctly, and the game remained responsive without noticeable freezes or severe FPS drops.</t>
  </si>
  <si>
    <t>The game remained responsive while multiple effects were active, with no noticeable stuttering or severe performance drops.</t>
  </si>
  <si>
    <t>The game maintained a frame rate of up to 60 FPS as expected.</t>
  </si>
  <si>
    <t>Up to 60 FPS</t>
  </si>
  <si>
    <t>The game was unexpectedly limited to 30 FPS despite the FPS limit being disabled or set above 30 FPS.</t>
  </si>
  <si>
    <t>30 FPS</t>
  </si>
  <si>
    <t>EV-PERF-086</t>
  </si>
  <si>
    <t>Reproduced during normal gameplay; this is the documented performance defect.</t>
  </si>
  <si>
    <t>Performance finding</t>
  </si>
  <si>
    <t>The recorded performance scenarios were stable at the observed 60 FPS level for idle, combat, explosion, heavy-effects and 60 FPS-cap checks. The high-FPS test failed because the game became locked to 30 FPS after the FPS limit was disabled/set above 30. No detailed frame-time, 1% low, 0.1% low, CPU, GPU, RAM or VRAM telemetry was captured in the source report, so those metrics are not presented as measured values.</t>
  </si>
  <si>
    <t>Compatibility Summary</t>
  </si>
  <si>
    <t>Actual Result</t>
  </si>
  <si>
    <t>Related Issue</t>
  </si>
  <si>
    <t>Requirement Interpretation</t>
  </si>
  <si>
    <t>F.E.A.R. launched successfully on the target Windows OS, the main menu appeared correctly, and gameplay started without compatibility issues.</t>
  </si>
  <si>
    <t>No compatibility issue observed.</t>
  </si>
  <si>
    <t>Meets the documented launch expectation.</t>
  </si>
  <si>
    <t>The selected resolution was applied successfully, and the game displayed correctly without visual issues or crashes.</t>
  </si>
  <si>
    <t>Resolution support was validated on the tested display setup.</t>
  </si>
  <si>
    <t>Meets the documented resolution expectation.</t>
  </si>
  <si>
    <t>Game audio played correctly through the selected audio device, including weapon sounds, movement sounds, and dialogue.</t>
  </si>
  <si>
    <t>Output routing worked as expected.</t>
  </si>
  <si>
    <t>Meets the documented audio-device expectation.</t>
  </si>
  <si>
    <t>Alt+Tab</t>
  </si>
  <si>
    <t>F.E.A.R. returned to gameplay correctly after Alt+Tab, and the display and player input continued to work normally.</t>
  </si>
  <si>
    <t>No recovery issue observed.</t>
  </si>
  <si>
    <t>Meets the documented Alt+Tab expectation.</t>
  </si>
  <si>
    <t>The game displayed correctly in fullscreen mode, and switching between gameplay and menus caused no display issues.</t>
  </si>
  <si>
    <t>No fullscreen display issue observed.</t>
  </si>
  <si>
    <t>Meets the documented fullscreen expectation.</t>
  </si>
  <si>
    <t>Controller</t>
  </si>
  <si>
    <t>The controller was not supported by F.E.A.R., and the game did not recognize the controller inputs during gameplay.</t>
  </si>
  <si>
    <t>Recorded as N/A unless controller support is explicitly required for the project.</t>
  </si>
  <si>
    <t>No defect is claimed solely from the lack of controller support.</t>
  </si>
  <si>
    <t>Reconciliation note</t>
  </si>
  <si>
    <t>The source Test Cases file marks TC-COMPAT-092 as Failed because the controller is not supported. The separate Compatibility Report records it as N/A / Not Supported. This Final Report preserves the execution fact but treats the controller result as a documented compatibility limitation rather than a confirmed defect because controller support is not stated as a project requirement.</t>
  </si>
  <si>
    <t>Regression Summary</t>
  </si>
  <si>
    <t>Regression ID</t>
  </si>
  <si>
    <t>Retest Area</t>
  </si>
  <si>
    <t>Steps / Check</t>
  </si>
  <si>
    <t>Expected Result</t>
  </si>
  <si>
    <t>REG-01</t>
  </si>
  <si>
    <t>Default controls stability</t>
  </si>
  <si>
    <t>Open Options and Controls without changing bindings; compare the default configuration before and after.</t>
  </si>
  <si>
    <t>Existing control settings remain unchanged.</t>
  </si>
  <si>
    <t>Awaiting a build containing the defect fix.</t>
  </si>
  <si>
    <t>REG-02</t>
  </si>
  <si>
    <t>FPS above 30</t>
  </si>
  <si>
    <t>Disable the FPS limit or set it above 30 FPS and start gameplay.</t>
  </si>
  <si>
    <t>The game is not unexpectedly locked at 30 FPS.</t>
  </si>
  <si>
    <t>Checklist Summary</t>
  </si>
  <si>
    <t>Checklist</t>
  </si>
  <si>
    <t>Total Items</t>
  </si>
  <si>
    <t>SaveLoad</t>
  </si>
  <si>
    <t>Gameplay</t>
  </si>
  <si>
    <t>Audio</t>
  </si>
  <si>
    <t>Compatibility</t>
  </si>
  <si>
    <t>Graphics</t>
  </si>
  <si>
    <t>TOTAL</t>
  </si>
  <si>
    <t>Total</t>
  </si>
  <si>
    <t>Pass Rate</t>
  </si>
  <si>
    <t>Environment, Scope and Limitations</t>
  </si>
  <si>
    <t>Field</t>
  </si>
  <si>
    <t>Value</t>
  </si>
  <si>
    <t>Known limitations</t>
  </si>
  <si>
    <t>CPU</t>
  </si>
  <si>
    <t>i5-14400F</t>
  </si>
  <si>
    <t>1</t>
  </si>
  <si>
    <t>Regression is pending because no fixed build was supplied.</t>
  </si>
  <si>
    <t>GPU</t>
  </si>
  <si>
    <t>RTX 3060 12 GB</t>
  </si>
  <si>
    <t>2</t>
  </si>
  <si>
    <t>RAM</t>
  </si>
  <si>
    <t>16 GB DDR4</t>
  </si>
  <si>
    <t>3</t>
  </si>
  <si>
    <t>Storage</t>
  </si>
  <si>
    <t>2 TB SSD</t>
  </si>
  <si>
    <t>Controller support is documented as unsupported; it is not treated as a defect without an explicit support requirement.</t>
  </si>
  <si>
    <t>Monitor</t>
  </si>
  <si>
    <t>24 in, 1920x1080</t>
  </si>
  <si>
    <t>TC-UI-050 and TC-INPUT-075 represent the same underlying settings-reset defect; Final Report counts one unique bug.</t>
  </si>
  <si>
    <t>Refresh rate</t>
  </si>
  <si>
    <t>60 Hz</t>
  </si>
  <si>
    <t>High-Definition Audio Device</t>
  </si>
  <si>
    <t>Input devices</t>
  </si>
  <si>
    <t>Keyboard, Mouse</t>
  </si>
  <si>
    <t>GPU driver</t>
  </si>
  <si>
    <t>NVIDIA Game Ready Driver - 616.92</t>
  </si>
  <si>
    <t>Game distribution</t>
  </si>
  <si>
    <t>FPS limiter</t>
  </si>
  <si>
    <t>Awaiting fix</t>
  </si>
  <si>
    <t>Regression status: no post-fix build was provided, so the planned regression checks will stay in status "awaiting fix"</t>
  </si>
  <si>
    <t xml:space="preserve">Failed due to Compatibility high-FPS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</si>
</sst>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6"/>
      <color rgb="FFFFFFFF"/>
      <name val="Carlito"/>
    </font>
    <font>
      <b/>
      <sz val="11"/>
      <name val="Carlito"/>
    </font>
    <font>
      <b/>
      <sz val="11"/>
      <color rgb="FFFFFFFF"/>
      <name val="Carlito"/>
    </font>
    <font>
      <b/>
      <sz val="12"/>
      <name val="Carlito"/>
    </font>
    <font>
      <sz val="11"/>
      <color rgb="FF006100"/>
      <name val="Calibri"/>
      <family val="2"/>
      <scheme val="minor"/>
    </font>
    <font>
      <sz val="11"/>
      <name val="Calibri"/>
      <family val="2"/>
      <scheme val="minor"/>
    </font>
    <font>
      <sz val="12"/>
      <color rgb="FF006100"/>
      <name val="Calibri"/>
      <family val="2"/>
      <scheme val="minor"/>
    </font>
    <font>
      <sz val="12"/>
      <name val="Calibri"/>
      <family val="2"/>
      <scheme val="minor"/>
    </font>
    <font>
      <sz val="20"/>
      <color rgb="FF006100"/>
      <name val="Calibri"/>
      <family val="2"/>
      <scheme val="minor"/>
    </font>
    <font>
      <sz val="12"/>
      <name val="Carlito"/>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C6EFCE"/>
      </patternFill>
    </fill>
  </fills>
  <borders count="2">
    <border>
      <left/>
      <right/>
      <top/>
      <bottom/>
      <diagonal/>
    </border>
    <border>
      <left/>
      <right/>
      <top/>
      <bottom/>
      <diagonal/>
    </border>
  </borders>
  <cellStyleXfs count="2">
    <xf numFmtId="0" fontId="0" fillId="0" borderId="0"/>
    <xf numFmtId="0" fontId="5" fillId="5" borderId="0" applyNumberFormat="0" applyBorder="0" applyAlignment="0" applyProtection="0"/>
  </cellStyleXfs>
  <cellXfs count="37">
    <xf numFmtId="0" fontId="0" fillId="0" borderId="0" xfId="0"/>
    <xf numFmtId="0" fontId="0" fillId="0" borderId="1" xfId="0" applyBorder="1"/>
    <xf numFmtId="0" fontId="2" fillId="3" borderId="0" xfId="0" applyFont="1" applyFill="1"/>
    <xf numFmtId="0" fontId="0" fillId="0" borderId="0" xfId="0" applyAlignment="1">
      <alignment wrapText="1"/>
    </xf>
    <xf numFmtId="0" fontId="3" fillId="4" borderId="0" xfId="0" applyFont="1" applyFill="1" applyAlignment="1">
      <alignment horizontal="center" vertical="center" wrapText="1"/>
    </xf>
    <xf numFmtId="0" fontId="2" fillId="0" borderId="0" xfId="0" applyFont="1" applyAlignment="1">
      <alignment horizontal="center"/>
    </xf>
    <xf numFmtId="0" fontId="0" fillId="0" borderId="0" xfId="0" applyAlignment="1">
      <alignment vertical="top" wrapText="1"/>
    </xf>
    <xf numFmtId="0" fontId="1" fillId="2" borderId="0" xfId="0" applyFont="1" applyFill="1" applyAlignment="1">
      <alignment horizontal="left" vertical="center"/>
    </xf>
    <xf numFmtId="0" fontId="0" fillId="0" borderId="0" xfId="0"/>
    <xf numFmtId="0" fontId="4" fillId="3" borderId="0" xfId="0" applyFont="1" applyFill="1"/>
    <xf numFmtId="0" fontId="0" fillId="0" borderId="0" xfId="0" applyAlignment="1">
      <alignment vertical="top" wrapText="1"/>
    </xf>
    <xf numFmtId="0" fontId="0" fillId="0" borderId="0" xfId="0" applyAlignment="1">
      <alignment horizontal="center"/>
    </xf>
    <xf numFmtId="0" fontId="7" fillId="5" borderId="0" xfId="1" applyFont="1"/>
    <xf numFmtId="0" fontId="7" fillId="5" borderId="0" xfId="1" applyFont="1" applyAlignment="1">
      <alignment horizontal="center" vertical="center" wrapText="1"/>
    </xf>
    <xf numFmtId="0" fontId="8" fillId="0" borderId="0" xfId="0" applyFont="1" applyAlignment="1">
      <alignment vertical="top" wrapText="1"/>
    </xf>
    <xf numFmtId="0" fontId="8" fillId="0" borderId="0" xfId="0" applyFont="1" applyAlignment="1">
      <alignment vertical="top" wrapText="1"/>
    </xf>
    <xf numFmtId="0" fontId="0" fillId="0" borderId="0" xfId="0" applyFont="1" applyAlignment="1">
      <alignment horizontal="center"/>
    </xf>
    <xf numFmtId="0" fontId="9" fillId="5" borderId="0" xfId="1" applyFont="1" applyAlignment="1">
      <alignment horizontal="left" vertical="center"/>
    </xf>
    <xf numFmtId="0" fontId="9" fillId="5" borderId="0" xfId="1" applyFont="1"/>
    <xf numFmtId="0" fontId="8" fillId="0" borderId="0" xfId="0" applyFont="1" applyAlignment="1">
      <alignment horizontal="left" vertical="top" wrapText="1"/>
    </xf>
    <xf numFmtId="0" fontId="9" fillId="5" borderId="0" xfId="1" applyFont="1" applyAlignment="1">
      <alignment horizontal="left" vertical="center" wrapText="1"/>
    </xf>
    <xf numFmtId="0" fontId="9" fillId="5" borderId="0" xfId="1" applyFont="1" applyAlignment="1">
      <alignment wrapText="1"/>
    </xf>
    <xf numFmtId="0" fontId="6" fillId="0" borderId="0" xfId="0" applyFont="1"/>
    <xf numFmtId="0" fontId="8" fillId="0" borderId="0" xfId="0" applyFont="1" applyAlignment="1">
      <alignment horizontal="center" vertical="center" wrapText="1"/>
    </xf>
    <xf numFmtId="0" fontId="7" fillId="5" borderId="0" xfId="1" applyFont="1"/>
    <xf numFmtId="0" fontId="8" fillId="0" borderId="1" xfId="0" applyFont="1" applyBorder="1" applyAlignment="1">
      <alignment wrapText="1"/>
    </xf>
    <xf numFmtId="0" fontId="10" fillId="0" borderId="1" xfId="0" applyFont="1" applyBorder="1" applyAlignment="1">
      <alignment wrapText="1"/>
    </xf>
    <xf numFmtId="0" fontId="10" fillId="0" borderId="1" xfId="0" applyFont="1" applyBorder="1" applyAlignment="1">
      <alignment wrapText="1"/>
    </xf>
    <xf numFmtId="0" fontId="10" fillId="0" borderId="0" xfId="0" applyFont="1" applyAlignment="1">
      <alignment vertical="top" wrapText="1"/>
    </xf>
    <xf numFmtId="0" fontId="4" fillId="0" borderId="1" xfId="0" applyFont="1" applyBorder="1"/>
    <xf numFmtId="0" fontId="8" fillId="0" borderId="0" xfId="0" applyFont="1"/>
    <xf numFmtId="9" fontId="8" fillId="0" borderId="0" xfId="0" applyNumberFormat="1" applyFont="1"/>
    <xf numFmtId="0" fontId="8" fillId="0" borderId="1" xfId="0" applyFont="1" applyBorder="1"/>
    <xf numFmtId="0" fontId="7" fillId="5" borderId="0" xfId="1" applyFont="1" applyAlignment="1">
      <alignment vertical="top" wrapText="1"/>
    </xf>
    <xf numFmtId="0" fontId="8" fillId="0" borderId="1" xfId="0" applyFont="1" applyBorder="1" applyAlignment="1">
      <alignment horizontal="left" vertical="top"/>
    </xf>
    <xf numFmtId="0" fontId="8" fillId="0" borderId="1" xfId="0" applyFont="1" applyBorder="1" applyAlignment="1">
      <alignment horizontal="left"/>
    </xf>
    <xf numFmtId="0" fontId="8" fillId="0" borderId="1" xfId="0" applyFont="1" applyBorder="1" applyAlignment="1"/>
  </cellXfs>
  <cellStyles count="2">
    <cellStyle name="Good" xfId="1" builtinId="26"/>
    <cellStyle name="Normal" xfId="0" builtinId="0"/>
  </cellStyles>
  <dxfs count="57">
    <dxf>
      <font>
        <strike val="0"/>
        <outline val="0"/>
        <shadow val="0"/>
        <u val="none"/>
        <vertAlign val="baseline"/>
        <sz val="12"/>
        <name val="Calibri"/>
        <family val="2"/>
        <scheme val="minor"/>
      </font>
    </dxf>
    <dxf>
      <font>
        <strike val="0"/>
        <outline val="0"/>
        <shadow val="0"/>
        <u val="none"/>
        <vertAlign val="baseline"/>
        <sz val="12"/>
        <color rgb="FF006100"/>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dxf>
    <dxf>
      <font>
        <strike val="0"/>
        <outline val="0"/>
        <shadow val="0"/>
        <u val="none"/>
        <vertAlign val="baseline"/>
        <sz val="12"/>
      </font>
      <alignment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color auto="1"/>
        <name val="Calibri"/>
        <family val="2"/>
        <scheme val="minor"/>
      </font>
      <alignment horizontal="center" vertical="center" textRotation="0" wrapText="1" indent="0" justifyLastLine="0" shrinkToFit="0" readingOrder="0"/>
    </dxf>
    <dxf>
      <font>
        <strike val="0"/>
        <outline val="0"/>
        <shadow val="0"/>
        <u val="none"/>
        <vertAlign val="baseline"/>
        <sz val="12"/>
        <color auto="1"/>
        <name val="Calibri"/>
        <family val="2"/>
        <scheme val="minor"/>
      </font>
      <alignment horizontal="center" vertical="center"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Total</c:v>
          </c:tx>
          <c:spPr>
            <a:solidFill>
              <a:srgbClr val="FFC000"/>
            </a:solidFill>
            <a:ln>
              <a:noFill/>
            </a:ln>
            <a:effectLst/>
          </c:spPr>
          <c:invertIfNegative val="1"/>
          <c:cat>
            <c:strRef>
              <c:f>'Area Coverage'!$A$2:$A$13</c:f>
              <c:strCache>
                <c:ptCount val="12"/>
                <c:pt idx="0">
                  <c:v>AI</c:v>
                </c:pt>
                <c:pt idx="1">
                  <c:v>AUDIO</c:v>
                </c:pt>
                <c:pt idx="2">
                  <c:v>COMPAT</c:v>
                </c:pt>
                <c:pt idx="3">
                  <c:v>GAMEPLAY</c:v>
                </c:pt>
                <c:pt idx="4">
                  <c:v>GRAPHICS</c:v>
                </c:pt>
                <c:pt idx="5">
                  <c:v>INPUT</c:v>
                </c:pt>
                <c:pt idx="6">
                  <c:v>PERF</c:v>
                </c:pt>
                <c:pt idx="7">
                  <c:v>PHYS</c:v>
                </c:pt>
                <c:pt idx="8">
                  <c:v>SAVE</c:v>
                </c:pt>
                <c:pt idx="9">
                  <c:v>Smoke</c:v>
                </c:pt>
                <c:pt idx="10">
                  <c:v>UI</c:v>
                </c:pt>
                <c:pt idx="11">
                  <c:v>WEAPON</c:v>
                </c:pt>
              </c:strCache>
            </c:strRef>
          </c:cat>
          <c:val>
            <c:numRef>
              <c:f>'Area Coverage'!$B$2:$B$13</c:f>
              <c:numCache>
                <c:formatCode>General</c:formatCode>
                <c:ptCount val="12"/>
                <c:pt idx="0">
                  <c:v>8</c:v>
                </c:pt>
                <c:pt idx="1">
                  <c:v>7</c:v>
                </c:pt>
                <c:pt idx="2">
                  <c:v>6</c:v>
                </c:pt>
                <c:pt idx="3">
                  <c:v>9</c:v>
                </c:pt>
                <c:pt idx="4">
                  <c:v>8</c:v>
                </c:pt>
                <c:pt idx="5">
                  <c:v>6</c:v>
                </c:pt>
                <c:pt idx="6">
                  <c:v>6</c:v>
                </c:pt>
                <c:pt idx="7">
                  <c:v>6</c:v>
                </c:pt>
                <c:pt idx="8">
                  <c:v>8</c:v>
                </c:pt>
                <c:pt idx="9">
                  <c:v>12</c:v>
                </c:pt>
                <c:pt idx="10">
                  <c:v>8</c:v>
                </c:pt>
                <c:pt idx="11">
                  <c:v>8</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5886-498E-963C-EC9F820FED48}"/>
            </c:ext>
          </c:extLst>
        </c:ser>
        <c:ser>
          <c:idx val="1"/>
          <c:order val="1"/>
          <c:tx>
            <c:v>Passed</c:v>
          </c:tx>
          <c:spPr>
            <a:solidFill>
              <a:srgbClr val="4EA72E"/>
            </a:solidFill>
            <a:ln>
              <a:noFill/>
            </a:ln>
            <a:effectLst/>
          </c:spPr>
          <c:invertIfNegative val="1"/>
          <c:cat>
            <c:strRef>
              <c:f>'Area Coverage'!$A$2:$A$13</c:f>
              <c:strCache>
                <c:ptCount val="12"/>
                <c:pt idx="0">
                  <c:v>AI</c:v>
                </c:pt>
                <c:pt idx="1">
                  <c:v>AUDIO</c:v>
                </c:pt>
                <c:pt idx="2">
                  <c:v>COMPAT</c:v>
                </c:pt>
                <c:pt idx="3">
                  <c:v>GAMEPLAY</c:v>
                </c:pt>
                <c:pt idx="4">
                  <c:v>GRAPHICS</c:v>
                </c:pt>
                <c:pt idx="5">
                  <c:v>INPUT</c:v>
                </c:pt>
                <c:pt idx="6">
                  <c:v>PERF</c:v>
                </c:pt>
                <c:pt idx="7">
                  <c:v>PHYS</c:v>
                </c:pt>
                <c:pt idx="8">
                  <c:v>SAVE</c:v>
                </c:pt>
                <c:pt idx="9">
                  <c:v>Smoke</c:v>
                </c:pt>
                <c:pt idx="10">
                  <c:v>UI</c:v>
                </c:pt>
                <c:pt idx="11">
                  <c:v>WEAPON</c:v>
                </c:pt>
              </c:strCache>
            </c:strRef>
          </c:cat>
          <c:val>
            <c:numRef>
              <c:f>'Area Coverage'!$C$2:$C$13</c:f>
              <c:numCache>
                <c:formatCode>General</c:formatCode>
                <c:ptCount val="12"/>
                <c:pt idx="0">
                  <c:v>8</c:v>
                </c:pt>
                <c:pt idx="1">
                  <c:v>7</c:v>
                </c:pt>
                <c:pt idx="2">
                  <c:v>5</c:v>
                </c:pt>
                <c:pt idx="3">
                  <c:v>9</c:v>
                </c:pt>
                <c:pt idx="4">
                  <c:v>8</c:v>
                </c:pt>
                <c:pt idx="5">
                  <c:v>5</c:v>
                </c:pt>
                <c:pt idx="6">
                  <c:v>5</c:v>
                </c:pt>
                <c:pt idx="7">
                  <c:v>6</c:v>
                </c:pt>
                <c:pt idx="8">
                  <c:v>8</c:v>
                </c:pt>
                <c:pt idx="9">
                  <c:v>12</c:v>
                </c:pt>
                <c:pt idx="10">
                  <c:v>7</c:v>
                </c:pt>
                <c:pt idx="11">
                  <c:v>8</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1-5886-498E-963C-EC9F820FED4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a:effectLst/>
          </c:spPr>
        </c:majorGridlines>
        <c:numFmt formatCode="General" sourceLinked="1"/>
        <c:majorTickMark val="out"/>
        <c:minorTickMark val="none"/>
        <c:tickLblPos val="nextTo"/>
        <c:spPr>
          <a:noFill/>
          <a:ln w="12700">
            <a:solidFill>
              <a:schemeClr val="tx1"/>
            </a:solidFill>
            <a:prstDash val="solid"/>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a:effectLst/>
          </c:spPr>
        </c:majorGridlines>
        <c:numFmt formatCode="General" sourceLinked="1"/>
        <c:majorTickMark val="out"/>
        <c:minorTickMark val="none"/>
        <c:tickLblPos val="nextTo"/>
        <c:spPr>
          <a:noFill/>
          <a:ln w="12700">
            <a:solidFill>
              <a:schemeClr val="tx1"/>
            </a:solidFill>
            <a:prstDash val="solid"/>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48650112"/>
        <c:crosses val="autoZero"/>
        <c:crossBetween val="between"/>
      </c:valAx>
      <c:dTable>
        <c:showHorzBorder val="1"/>
        <c:showVertBorder val="1"/>
        <c:showOutline val="1"/>
        <c:showKeys val="1"/>
        <c:spPr>
          <a:noFill/>
          <a:ln w="12700">
            <a:solidFill>
              <a:schemeClr val="tx1">
                <a:tint val="75000"/>
              </a:schemeClr>
            </a:solidFill>
            <a:prstDash val="solid"/>
            <a:round/>
          </a:ln>
          <a:effectLst/>
        </c:spPr>
        <c:txPr>
          <a:bodyPr rot="0" spcFirstLastPara="1" vertOverflow="ellipsis" vert="horz" wrap="square" anchor="ctr" anchorCtr="1"/>
          <a:lstStyle/>
          <a:p>
            <a:pPr rtl="0">
              <a:defRPr sz="1100" b="0" i="0" u="none" strike="noStrike" kern="1200" baseline="0">
                <a:solidFill>
                  <a:schemeClr val="tx1"/>
                </a:solidFill>
                <a:latin typeface="+mn-lt"/>
                <a:ea typeface="+mn-ea"/>
                <a:cs typeface="+mn-cs"/>
              </a:defRPr>
            </a:pPr>
            <a:endParaRPr lang="en-US"/>
          </a:p>
        </c:txPr>
      </c:dTable>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zero"/>
    <c:showDLblsOverMax val="1"/>
  </c:chart>
  <c:spPr>
    <a:solidFill>
      <a:schemeClr val="bg1"/>
    </a:solidFill>
    <a:ln w="9525">
      <a:solidFill>
        <a:srgbClr val="D9D9D9"/>
      </a:solidFill>
      <a:prstDash val="solid"/>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ecutionDataTable" displayName="ExecutionDataTable" ref="A1:I93" totalsRowShown="0">
  <tableColumns count="9">
    <tableColumn id="1" xr3:uid="{00000000-0010-0000-0000-000001000000}" name="TC ID"/>
    <tableColumn id="2" xr3:uid="{00000000-0010-0000-0000-000002000000}" name="Area"/>
    <tableColumn id="3" xr3:uid="{00000000-0010-0000-0000-000003000000}" name="Title"/>
    <tableColumn id="4" xr3:uid="{00000000-0010-0000-0000-000004000000}" name="Status"/>
    <tableColumn id="5" xr3:uid="{00000000-0010-0000-0000-000005000000}" name="Severity"/>
    <tableColumn id="6" xr3:uid="{00000000-0010-0000-0000-000006000000}" name="Priority"/>
    <tableColumn id="7" xr3:uid="{00000000-0010-0000-0000-000007000000}" name="Repro"/>
    <tableColumn id="8" xr3:uid="{00000000-0010-0000-0000-000008000000}" name="Evidence"/>
    <tableColumn id="9" xr3:uid="{00000000-0010-0000-0000-000009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ectsTable" displayName="DefectsTable" ref="A2:L4" totalsRowShown="0" headerRowDxfId="24" dataDxfId="23" headerRowCellStyle="Good">
  <tableColumns count="12">
    <tableColumn id="1" xr3:uid="{00000000-0010-0000-0100-000001000000}" name="Bug ID" dataDxfId="36"/>
    <tableColumn id="2" xr3:uid="{00000000-0010-0000-0100-000002000000}" name="Related TC" dataDxfId="35"/>
    <tableColumn id="3" xr3:uid="{00000000-0010-0000-0100-000003000000}" name="Category" dataDxfId="34"/>
    <tableColumn id="4" xr3:uid="{00000000-0010-0000-0100-000004000000}" name="Title" dataDxfId="33"/>
    <tableColumn id="5" xr3:uid="{00000000-0010-0000-0100-000005000000}" name="Severity" dataDxfId="32"/>
    <tableColumn id="6" xr3:uid="{00000000-0010-0000-0100-000006000000}" name="Priority" dataDxfId="31"/>
    <tableColumn id="7" xr3:uid="{00000000-0010-0000-0100-000007000000}" name="Reproducibility" dataDxfId="30"/>
    <tableColumn id="8" xr3:uid="{00000000-0010-0000-0100-000008000000}" name="Status" dataDxfId="29"/>
    <tableColumn id="9" xr3:uid="{00000000-0010-0000-0100-000009000000}" name="Summary" dataDxfId="28"/>
    <tableColumn id="10" xr3:uid="{00000000-0010-0000-0100-00000A000000}" name="Expected" dataDxfId="27"/>
    <tableColumn id="11" xr3:uid="{00000000-0010-0000-0100-00000B000000}" name="Actual" dataDxfId="26"/>
    <tableColumn id="12" xr3:uid="{00000000-0010-0000-0100-00000C000000}" name="Notes" dataDxfId="25"/>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erformanceTable" displayName="PerformanceTable" ref="A2:H8" totalsRowShown="0" headerRowDxfId="48" dataDxfId="47" headerRowCellStyle="Good">
  <tableColumns count="8">
    <tableColumn id="1" xr3:uid="{00000000-0010-0000-0200-000001000000}" name="Test Case" dataDxfId="56"/>
    <tableColumn id="2" xr3:uid="{00000000-0010-0000-0200-000002000000}" name="Scenario" dataDxfId="55"/>
    <tableColumn id="3" xr3:uid="{00000000-0010-0000-0200-000003000000}" name="Status" dataDxfId="54"/>
    <tableColumn id="4" xr3:uid="{00000000-0010-0000-0200-000004000000}" name="Observed Result" dataDxfId="53"/>
    <tableColumn id="5" xr3:uid="{00000000-0010-0000-0200-000005000000}" name="FPS Measurement" dataDxfId="52"/>
    <tableColumn id="6" xr3:uid="{00000000-0010-0000-0200-000006000000}" name="Related Bug" dataDxfId="51"/>
    <tableColumn id="7" xr3:uid="{00000000-0010-0000-0200-000007000000}" name="Evidence" dataDxfId="50"/>
    <tableColumn id="8" xr3:uid="{00000000-0010-0000-0200-000008000000}" name="Notes" dataDxfId="49"/>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patibilityTable" displayName="CompatibilityTable" ref="A2:H8" totalsRowShown="0" headerRowDxfId="38" dataDxfId="37" headerRowCellStyle="Good">
  <tableColumns count="8">
    <tableColumn id="1" xr3:uid="{00000000-0010-0000-0300-000001000000}" name="Test Case" dataDxfId="46"/>
    <tableColumn id="2" xr3:uid="{00000000-0010-0000-0300-000002000000}" name="Area" dataDxfId="45"/>
    <tableColumn id="3" xr3:uid="{00000000-0010-0000-0300-000003000000}" name="Status" dataDxfId="44"/>
    <tableColumn id="4" xr3:uid="{00000000-0010-0000-0300-000004000000}" name="Actual Result" dataDxfId="43"/>
    <tableColumn id="5" xr3:uid="{00000000-0010-0000-0300-000005000000}" name="Related Issue" dataDxfId="42"/>
    <tableColumn id="6" xr3:uid="{00000000-0010-0000-0300-000006000000}" name="Evidence" dataDxfId="41"/>
    <tableColumn id="7" xr3:uid="{00000000-0010-0000-0300-000007000000}" name="Notes" dataDxfId="40"/>
    <tableColumn id="8" xr3:uid="{00000000-0010-0000-0300-000008000000}" name="Requirement Interpretation" dataDxfId="39"/>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gressionTable" displayName="RegressionTable" ref="A2:G4" totalsRowShown="0" headerRowDxfId="15" dataDxfId="14" headerRowCellStyle="Good" dataCellStyle="Normal">
  <tableColumns count="7">
    <tableColumn id="1" xr3:uid="{00000000-0010-0000-0400-000001000000}" name="Regression ID" dataDxfId="22" dataCellStyle="Normal"/>
    <tableColumn id="2" xr3:uid="{00000000-0010-0000-0400-000002000000}" name="Related Bug" dataDxfId="21" dataCellStyle="Normal"/>
    <tableColumn id="3" xr3:uid="{00000000-0010-0000-0400-000003000000}" name="Retest Area" dataDxfId="20" dataCellStyle="Normal"/>
    <tableColumn id="4" xr3:uid="{00000000-0010-0000-0400-000004000000}" name="Status" dataDxfId="19" dataCellStyle="Normal"/>
    <tableColumn id="5" xr3:uid="{00000000-0010-0000-0400-000005000000}" name="Steps / Check" dataDxfId="18" dataCellStyle="Normal"/>
    <tableColumn id="6" xr3:uid="{00000000-0010-0000-0400-000006000000}" name="Expected Result" dataDxfId="17" dataCellStyle="Normal"/>
    <tableColumn id="7" xr3:uid="{00000000-0010-0000-0400-000007000000}" name="Notes" dataDxfId="16" dataCellStyle="Normal"/>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hecklistSummaryTable" displayName="ChecklistSummaryTable" ref="A2:E9" totalsRowShown="0" headerRowDxfId="8" dataDxfId="7" headerRowCellStyle="Good">
  <tableColumns count="5">
    <tableColumn id="1" xr3:uid="{00000000-0010-0000-0500-000001000000}" name="Checklist" dataDxfId="13"/>
    <tableColumn id="2" xr3:uid="{00000000-0010-0000-0500-000002000000}" name="Total Items" dataDxfId="12"/>
    <tableColumn id="3" xr3:uid="{00000000-0010-0000-0500-000003000000}" name="Passed" dataDxfId="11"/>
    <tableColumn id="4" xr3:uid="{00000000-0010-0000-0500-000004000000}" name="Failed" dataDxfId="10"/>
    <tableColumn id="5" xr3:uid="{00000000-0010-0000-0500-000005000000}" name="Result" dataDxfId="9"/>
  </tableColumns>
  <tableStyleInfo name="TableStyleLight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reaCoverageTable" displayName="AreaCoverageTable" ref="A1:E13" totalsRowShown="0" headerRowDxfId="1" dataDxfId="0" headerRowCellStyle="Good">
  <tableColumns count="5">
    <tableColumn id="1" xr3:uid="{00000000-0010-0000-0600-000001000000}" name="Area" dataDxfId="6"/>
    <tableColumn id="2" xr3:uid="{00000000-0010-0000-0600-000002000000}" name="Total" dataDxfId="5"/>
    <tableColumn id="3" xr3:uid="{00000000-0010-0000-0600-000003000000}" name="Passed" dataDxfId="4"/>
    <tableColumn id="4" xr3:uid="{00000000-0010-0000-0600-000004000000}" name="Failed" dataDxfId="3"/>
    <tableColumn id="5" xr3:uid="{00000000-0010-0000-0600-000005000000}" name="Pass Rate" dataDxfId="2"/>
  </tableColumns>
  <tableStyleInfo name="TableStyleLight1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workbookViewId="0">
      <selection sqref="A1:H1"/>
    </sheetView>
  </sheetViews>
  <sheetFormatPr defaultRowHeight="14.25"/>
  <cols>
    <col min="1" max="1" width="255" customWidth="1"/>
    <col min="2" max="2" width="79.875" customWidth="1"/>
    <col min="4" max="4" width="20.125" customWidth="1"/>
    <col min="5" max="5" width="5.25" customWidth="1"/>
  </cols>
  <sheetData>
    <row r="1" spans="1:8" ht="30" customHeight="1">
      <c r="A1" s="7" t="s">
        <v>0</v>
      </c>
      <c r="B1" s="8"/>
      <c r="C1" s="8"/>
      <c r="D1" s="8"/>
      <c r="E1" s="8"/>
      <c r="F1" s="8"/>
      <c r="G1" s="8"/>
      <c r="H1" s="8"/>
    </row>
    <row r="2" spans="1:8" ht="30" customHeight="1">
      <c r="A2" s="11"/>
    </row>
    <row r="3" spans="1:8" ht="30" customHeight="1">
      <c r="A3" s="2" t="s">
        <v>1</v>
      </c>
      <c r="B3" s="3" t="s">
        <v>2</v>
      </c>
      <c r="D3" s="4" t="s">
        <v>3</v>
      </c>
      <c r="E3" s="4" t="s">
        <v>4</v>
      </c>
    </row>
    <row r="4" spans="1:8" ht="30" customHeight="1">
      <c r="A4" s="2" t="s">
        <v>5</v>
      </c>
      <c r="B4" s="3" t="s">
        <v>6</v>
      </c>
      <c r="D4" s="2" t="s">
        <v>7</v>
      </c>
      <c r="E4" s="5">
        <f>COUNTA('Execution Data'!A2:A93)</f>
        <v>92</v>
      </c>
    </row>
    <row r="5" spans="1:8" ht="30" customHeight="1">
      <c r="A5" s="2" t="s">
        <v>8</v>
      </c>
      <c r="B5" s="3" t="s">
        <v>9</v>
      </c>
      <c r="D5" s="2" t="s">
        <v>10</v>
      </c>
      <c r="E5" s="5">
        <f>COUNTIF('Execution Data'!D2:D93,"Pass")</f>
        <v>88</v>
      </c>
    </row>
    <row r="6" spans="1:8" ht="30" customHeight="1">
      <c r="A6" s="2" t="s">
        <v>11</v>
      </c>
      <c r="B6" s="3" t="s">
        <v>12</v>
      </c>
      <c r="D6" s="2" t="s">
        <v>13</v>
      </c>
      <c r="E6" s="5">
        <f>COUNTIF('Execution Data'!D2:D93,"Failed")</f>
        <v>4</v>
      </c>
    </row>
    <row r="7" spans="1:8" ht="30" customHeight="1">
      <c r="A7" s="2" t="s">
        <v>14</v>
      </c>
      <c r="B7" s="3" t="s">
        <v>15</v>
      </c>
      <c r="D7" s="2" t="s">
        <v>16</v>
      </c>
      <c r="E7" s="5">
        <f>COUNTIF('Execution Data'!D2:D93,"Blocked")</f>
        <v>0</v>
      </c>
    </row>
    <row r="8" spans="1:8" ht="30" customHeight="1">
      <c r="A8" s="2" t="s">
        <v>17</v>
      </c>
      <c r="B8" s="3" t="s">
        <v>18</v>
      </c>
      <c r="D8" s="2" t="s">
        <v>19</v>
      </c>
      <c r="E8" s="5">
        <f>COUNTIF('Execution Data'!D2:D93,"N/A")</f>
        <v>0</v>
      </c>
    </row>
    <row r="9" spans="1:8" ht="30" customHeight="1">
      <c r="A9" s="2" t="s">
        <v>20</v>
      </c>
      <c r="B9" s="3" t="s">
        <v>21</v>
      </c>
      <c r="D9" s="2" t="s">
        <v>22</v>
      </c>
      <c r="E9" s="16">
        <f>COUNTA(Defects!A2:A4)</f>
        <v>3</v>
      </c>
    </row>
    <row r="10" spans="1:8" ht="30" customHeight="1">
      <c r="A10" s="2" t="s">
        <v>23</v>
      </c>
      <c r="B10" s="3" t="s">
        <v>24</v>
      </c>
    </row>
    <row r="11" spans="1:8" ht="30" customHeight="1"/>
    <row r="12" spans="1:8" ht="30" customHeight="1"/>
    <row r="13" spans="1:8" ht="30" customHeight="1">
      <c r="A13" s="9" t="s">
        <v>25</v>
      </c>
      <c r="B13" s="9"/>
      <c r="C13" s="9"/>
      <c r="D13" s="9"/>
      <c r="E13" s="9"/>
      <c r="F13" s="9"/>
      <c r="G13" s="9"/>
      <c r="H13" s="9"/>
    </row>
    <row r="14" spans="1:8" ht="30" customHeight="1">
      <c r="A14" s="10" t="s">
        <v>26</v>
      </c>
      <c r="B14" s="10"/>
      <c r="C14" s="10"/>
      <c r="D14" s="10"/>
      <c r="E14" s="10"/>
      <c r="F14" s="10"/>
      <c r="G14" s="10"/>
      <c r="H14" s="10"/>
    </row>
    <row r="15" spans="1:8" ht="30" customHeight="1">
      <c r="A15" s="10"/>
      <c r="B15" s="10"/>
      <c r="C15" s="10"/>
      <c r="D15" s="10"/>
      <c r="E15" s="10"/>
      <c r="F15" s="10"/>
      <c r="G15" s="10"/>
      <c r="H15" s="10"/>
    </row>
    <row r="16" spans="1:8" ht="30" customHeight="1">
      <c r="A16" s="10"/>
      <c r="B16" s="10"/>
      <c r="C16" s="10"/>
      <c r="D16" s="10"/>
      <c r="E16" s="10"/>
      <c r="F16" s="10"/>
      <c r="G16" s="10"/>
      <c r="H16" s="10"/>
    </row>
    <row r="17" spans="1:8" ht="30" customHeight="1">
      <c r="A17" s="10"/>
      <c r="B17" s="10"/>
      <c r="C17" s="10"/>
      <c r="D17" s="10"/>
      <c r="E17" s="10"/>
      <c r="F17" s="10"/>
      <c r="G17" s="10"/>
      <c r="H17" s="10"/>
    </row>
    <row r="18" spans="1:8" ht="30" customHeight="1">
      <c r="A18" s="10"/>
      <c r="B18" s="10"/>
      <c r="C18" s="10"/>
      <c r="D18" s="10"/>
      <c r="E18" s="10"/>
      <c r="F18" s="10"/>
      <c r="G18" s="10"/>
      <c r="H18" s="10"/>
    </row>
    <row r="19" spans="1:8" ht="30" customHeight="1"/>
    <row r="20" spans="1:8" ht="30" customHeight="1">
      <c r="A20" s="9" t="s">
        <v>27</v>
      </c>
      <c r="B20" s="9"/>
      <c r="C20" s="9"/>
      <c r="D20" s="9"/>
      <c r="E20" s="9"/>
      <c r="F20" s="9"/>
      <c r="G20" s="9"/>
      <c r="H20" s="9"/>
    </row>
    <row r="21" spans="1:8" ht="30" customHeight="1">
      <c r="A21" s="10" t="s">
        <v>28</v>
      </c>
      <c r="B21" s="10"/>
      <c r="C21" s="10"/>
      <c r="D21" s="10"/>
      <c r="E21" s="10"/>
      <c r="F21" s="10"/>
      <c r="G21" s="10"/>
      <c r="H21" s="10"/>
    </row>
    <row r="22" spans="1:8" ht="30" customHeight="1">
      <c r="A22" s="10"/>
      <c r="B22" s="10"/>
      <c r="C22" s="10"/>
      <c r="D22" s="10"/>
      <c r="E22" s="10"/>
      <c r="F22" s="10"/>
      <c r="G22" s="10"/>
      <c r="H22" s="10"/>
    </row>
    <row r="23" spans="1:8" ht="30" customHeight="1">
      <c r="A23" s="10"/>
      <c r="B23" s="10"/>
      <c r="C23" s="10"/>
      <c r="D23" s="10"/>
      <c r="E23" s="10"/>
      <c r="F23" s="10"/>
      <c r="G23" s="10"/>
      <c r="H23" s="10"/>
    </row>
    <row r="24" spans="1:8" ht="30" customHeight="1">
      <c r="A24" s="10"/>
      <c r="B24" s="10"/>
      <c r="C24" s="10"/>
      <c r="D24" s="10"/>
      <c r="E24" s="10"/>
      <c r="F24" s="10"/>
      <c r="G24" s="10"/>
      <c r="H24" s="10"/>
    </row>
    <row r="25" spans="1:8" ht="30" customHeight="1"/>
    <row r="26" spans="1:8" ht="30" customHeight="1"/>
    <row r="27" spans="1:8" ht="30" customHeight="1"/>
    <row r="28" spans="1:8" ht="30" customHeight="1"/>
    <row r="29" spans="1:8" ht="30" customHeight="1"/>
    <row r="30" spans="1:8" ht="30" customHeight="1"/>
    <row r="31" spans="1:8" ht="30" customHeight="1"/>
    <row r="32" spans="1:8" ht="30" customHeight="1"/>
    <row r="33" ht="30" customHeight="1"/>
    <row r="34" ht="30" customHeight="1"/>
    <row r="35" ht="30" customHeight="1"/>
    <row r="36" ht="30" customHeight="1"/>
    <row r="37" ht="30" customHeight="1"/>
    <row r="38" ht="30" customHeight="1"/>
    <row r="39" ht="30" customHeight="1"/>
    <row r="40" ht="30" customHeight="1"/>
  </sheetData>
  <mergeCells count="5">
    <mergeCell ref="A1:H1"/>
    <mergeCell ref="A13:H13"/>
    <mergeCell ref="A14:H18"/>
    <mergeCell ref="A20:H20"/>
    <mergeCell ref="A21:H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3"/>
  <sheetViews>
    <sheetView workbookViewId="0"/>
  </sheetViews>
  <sheetFormatPr defaultRowHeight="14.25"/>
  <cols>
    <col min="1" max="1" width="24" customWidth="1"/>
    <col min="2" max="2" width="28" customWidth="1"/>
    <col min="3" max="4" width="18" customWidth="1"/>
    <col min="5" max="6" width="24" customWidth="1"/>
    <col min="7" max="7" width="16" customWidth="1"/>
    <col min="8" max="8" width="18" customWidth="1"/>
    <col min="9" max="9" width="36" customWidth="1"/>
    <col min="10" max="12" width="30" customWidth="1"/>
  </cols>
  <sheetData>
    <row r="1" spans="1:9" ht="15">
      <c r="A1" s="4" t="s">
        <v>29</v>
      </c>
      <c r="B1" s="4" t="s">
        <v>30</v>
      </c>
      <c r="C1" s="4" t="s">
        <v>31</v>
      </c>
      <c r="D1" s="4" t="s">
        <v>32</v>
      </c>
      <c r="E1" s="4" t="s">
        <v>33</v>
      </c>
      <c r="F1" s="4" t="s">
        <v>34</v>
      </c>
      <c r="G1" s="4" t="s">
        <v>35</v>
      </c>
      <c r="H1" s="4" t="s">
        <v>36</v>
      </c>
      <c r="I1" s="4" t="s">
        <v>37</v>
      </c>
    </row>
    <row r="2" spans="1:9">
      <c r="A2" s="6" t="s">
        <v>38</v>
      </c>
      <c r="B2" s="6" t="s">
        <v>39</v>
      </c>
      <c r="C2" s="6" t="s">
        <v>40</v>
      </c>
      <c r="D2" s="6" t="s">
        <v>41</v>
      </c>
      <c r="E2" s="6" t="s">
        <v>42</v>
      </c>
      <c r="F2" s="6" t="s">
        <v>42</v>
      </c>
      <c r="G2" s="6" t="s">
        <v>42</v>
      </c>
      <c r="H2" s="6" t="s">
        <v>42</v>
      </c>
      <c r="I2" s="6" t="s">
        <v>42</v>
      </c>
    </row>
    <row r="3" spans="1:9" ht="28.5">
      <c r="A3" s="6" t="s">
        <v>43</v>
      </c>
      <c r="B3" s="6" t="s">
        <v>39</v>
      </c>
      <c r="C3" s="6" t="s">
        <v>44</v>
      </c>
      <c r="D3" s="6" t="s">
        <v>41</v>
      </c>
      <c r="E3" s="6" t="s">
        <v>42</v>
      </c>
      <c r="F3" s="6" t="s">
        <v>42</v>
      </c>
      <c r="G3" s="6" t="s">
        <v>42</v>
      </c>
      <c r="H3" s="6" t="s">
        <v>42</v>
      </c>
      <c r="I3" s="6" t="s">
        <v>42</v>
      </c>
    </row>
    <row r="4" spans="1:9">
      <c r="A4" s="6" t="s">
        <v>45</v>
      </c>
      <c r="B4" s="6" t="s">
        <v>39</v>
      </c>
      <c r="C4" s="6" t="s">
        <v>46</v>
      </c>
      <c r="D4" s="6" t="s">
        <v>41</v>
      </c>
      <c r="E4" s="6" t="s">
        <v>42</v>
      </c>
      <c r="F4" s="6" t="s">
        <v>42</v>
      </c>
      <c r="G4" s="6" t="s">
        <v>42</v>
      </c>
      <c r="H4" s="6" t="s">
        <v>42</v>
      </c>
      <c r="I4" s="6" t="s">
        <v>42</v>
      </c>
    </row>
    <row r="5" spans="1:9">
      <c r="A5" s="6" t="s">
        <v>47</v>
      </c>
      <c r="B5" s="6" t="s">
        <v>39</v>
      </c>
      <c r="C5" s="6" t="s">
        <v>48</v>
      </c>
      <c r="D5" s="6" t="s">
        <v>41</v>
      </c>
      <c r="E5" s="6" t="s">
        <v>42</v>
      </c>
      <c r="F5" s="6" t="s">
        <v>42</v>
      </c>
      <c r="G5" s="6" t="s">
        <v>42</v>
      </c>
      <c r="H5" s="6" t="s">
        <v>42</v>
      </c>
      <c r="I5" s="6" t="s">
        <v>42</v>
      </c>
    </row>
    <row r="6" spans="1:9" ht="28.5">
      <c r="A6" s="6" t="s">
        <v>49</v>
      </c>
      <c r="B6" s="6" t="s">
        <v>39</v>
      </c>
      <c r="C6" s="6" t="s">
        <v>50</v>
      </c>
      <c r="D6" s="6" t="s">
        <v>41</v>
      </c>
      <c r="E6" s="6" t="s">
        <v>42</v>
      </c>
      <c r="F6" s="6" t="s">
        <v>42</v>
      </c>
      <c r="G6" s="6" t="s">
        <v>42</v>
      </c>
      <c r="H6" s="6" t="s">
        <v>42</v>
      </c>
      <c r="I6" s="6" t="s">
        <v>42</v>
      </c>
    </row>
    <row r="7" spans="1:9">
      <c r="A7" s="6" t="s">
        <v>51</v>
      </c>
      <c r="B7" s="6" t="s">
        <v>39</v>
      </c>
      <c r="C7" s="6" t="s">
        <v>52</v>
      </c>
      <c r="D7" s="6" t="s">
        <v>41</v>
      </c>
      <c r="E7" s="6" t="s">
        <v>42</v>
      </c>
      <c r="F7" s="6" t="s">
        <v>42</v>
      </c>
      <c r="G7" s="6" t="s">
        <v>42</v>
      </c>
      <c r="H7" s="6" t="s">
        <v>42</v>
      </c>
      <c r="I7" s="6" t="s">
        <v>42</v>
      </c>
    </row>
    <row r="8" spans="1:9">
      <c r="A8" s="6" t="s">
        <v>53</v>
      </c>
      <c r="B8" s="6" t="s">
        <v>39</v>
      </c>
      <c r="C8" s="6" t="s">
        <v>54</v>
      </c>
      <c r="D8" s="6" t="s">
        <v>41</v>
      </c>
      <c r="E8" s="6" t="s">
        <v>42</v>
      </c>
      <c r="F8" s="6" t="s">
        <v>42</v>
      </c>
      <c r="G8" s="6" t="s">
        <v>42</v>
      </c>
      <c r="H8" s="6" t="s">
        <v>42</v>
      </c>
      <c r="I8" s="6" t="s">
        <v>42</v>
      </c>
    </row>
    <row r="9" spans="1:9" ht="28.5">
      <c r="A9" s="6" t="s">
        <v>55</v>
      </c>
      <c r="B9" s="6" t="s">
        <v>39</v>
      </c>
      <c r="C9" s="6" t="s">
        <v>56</v>
      </c>
      <c r="D9" s="6" t="s">
        <v>41</v>
      </c>
      <c r="E9" s="6" t="s">
        <v>42</v>
      </c>
      <c r="F9" s="6" t="s">
        <v>42</v>
      </c>
      <c r="G9" s="6" t="s">
        <v>42</v>
      </c>
      <c r="H9" s="6" t="s">
        <v>42</v>
      </c>
      <c r="I9" s="6" t="s">
        <v>42</v>
      </c>
    </row>
    <row r="10" spans="1:9">
      <c r="A10" s="6" t="s">
        <v>57</v>
      </c>
      <c r="B10" s="6" t="s">
        <v>39</v>
      </c>
      <c r="C10" s="6" t="s">
        <v>58</v>
      </c>
      <c r="D10" s="6" t="s">
        <v>41</v>
      </c>
      <c r="E10" s="6" t="s">
        <v>42</v>
      </c>
      <c r="F10" s="6" t="s">
        <v>42</v>
      </c>
      <c r="G10" s="6" t="s">
        <v>42</v>
      </c>
      <c r="H10" s="6" t="s">
        <v>42</v>
      </c>
      <c r="I10" s="6" t="s">
        <v>42</v>
      </c>
    </row>
    <row r="11" spans="1:9">
      <c r="A11" s="6" t="s">
        <v>59</v>
      </c>
      <c r="B11" s="6" t="s">
        <v>39</v>
      </c>
      <c r="C11" s="6" t="s">
        <v>60</v>
      </c>
      <c r="D11" s="6" t="s">
        <v>41</v>
      </c>
      <c r="E11" s="6" t="s">
        <v>42</v>
      </c>
      <c r="F11" s="6" t="s">
        <v>42</v>
      </c>
      <c r="G11" s="6" t="s">
        <v>42</v>
      </c>
      <c r="H11" s="6" t="s">
        <v>42</v>
      </c>
      <c r="I11" s="6" t="s">
        <v>42</v>
      </c>
    </row>
    <row r="12" spans="1:9">
      <c r="A12" s="6" t="s">
        <v>61</v>
      </c>
      <c r="B12" s="6" t="s">
        <v>39</v>
      </c>
      <c r="C12" s="6" t="s">
        <v>62</v>
      </c>
      <c r="D12" s="6" t="s">
        <v>41</v>
      </c>
      <c r="E12" s="6" t="s">
        <v>42</v>
      </c>
      <c r="F12" s="6" t="s">
        <v>42</v>
      </c>
      <c r="G12" s="6" t="s">
        <v>42</v>
      </c>
      <c r="H12" s="6" t="s">
        <v>42</v>
      </c>
      <c r="I12" s="6" t="s">
        <v>42</v>
      </c>
    </row>
    <row r="13" spans="1:9">
      <c r="A13" s="6" t="s">
        <v>63</v>
      </c>
      <c r="B13" s="6" t="s">
        <v>39</v>
      </c>
      <c r="C13" s="6" t="s">
        <v>64</v>
      </c>
      <c r="D13" s="6" t="s">
        <v>41</v>
      </c>
      <c r="E13" s="6" t="s">
        <v>42</v>
      </c>
      <c r="F13" s="6" t="s">
        <v>42</v>
      </c>
      <c r="G13" s="6" t="s">
        <v>42</v>
      </c>
      <c r="H13" s="6" t="s">
        <v>42</v>
      </c>
      <c r="I13" s="6" t="s">
        <v>42</v>
      </c>
    </row>
    <row r="14" spans="1:9" ht="28.5">
      <c r="A14" s="6" t="s">
        <v>65</v>
      </c>
      <c r="B14" s="6" t="s">
        <v>66</v>
      </c>
      <c r="C14" s="6" t="s">
        <v>67</v>
      </c>
      <c r="D14" s="6" t="s">
        <v>41</v>
      </c>
      <c r="E14" s="6" t="s">
        <v>42</v>
      </c>
      <c r="F14" s="6" t="s">
        <v>42</v>
      </c>
      <c r="G14" s="6" t="s">
        <v>42</v>
      </c>
      <c r="H14" s="6" t="s">
        <v>42</v>
      </c>
      <c r="I14" s="6" t="s">
        <v>42</v>
      </c>
    </row>
    <row r="15" spans="1:9" ht="28.5">
      <c r="A15" s="6" t="s">
        <v>68</v>
      </c>
      <c r="B15" s="6" t="s">
        <v>66</v>
      </c>
      <c r="C15" s="6" t="s">
        <v>69</v>
      </c>
      <c r="D15" s="6" t="s">
        <v>41</v>
      </c>
      <c r="E15" s="6" t="s">
        <v>42</v>
      </c>
      <c r="F15" s="6" t="s">
        <v>42</v>
      </c>
      <c r="G15" s="6" t="s">
        <v>42</v>
      </c>
      <c r="H15" s="6" t="s">
        <v>42</v>
      </c>
      <c r="I15" s="6" t="s">
        <v>42</v>
      </c>
    </row>
    <row r="16" spans="1:9">
      <c r="A16" s="6" t="s">
        <v>70</v>
      </c>
      <c r="B16" s="6" t="s">
        <v>66</v>
      </c>
      <c r="C16" s="6" t="s">
        <v>52</v>
      </c>
      <c r="D16" s="6" t="s">
        <v>41</v>
      </c>
      <c r="E16" s="6" t="s">
        <v>42</v>
      </c>
      <c r="F16" s="6" t="s">
        <v>42</v>
      </c>
      <c r="G16" s="6" t="s">
        <v>42</v>
      </c>
      <c r="H16" s="6" t="s">
        <v>42</v>
      </c>
      <c r="I16" s="6" t="s">
        <v>42</v>
      </c>
    </row>
    <row r="17" spans="1:9" ht="28.5">
      <c r="A17" s="6" t="s">
        <v>71</v>
      </c>
      <c r="B17" s="6" t="s">
        <v>66</v>
      </c>
      <c r="C17" s="6" t="s">
        <v>72</v>
      </c>
      <c r="D17" s="6" t="s">
        <v>41</v>
      </c>
      <c r="E17" s="6" t="s">
        <v>42</v>
      </c>
      <c r="F17" s="6" t="s">
        <v>42</v>
      </c>
      <c r="G17" s="6" t="s">
        <v>42</v>
      </c>
      <c r="H17" s="6" t="s">
        <v>42</v>
      </c>
      <c r="I17" s="6" t="s">
        <v>42</v>
      </c>
    </row>
    <row r="18" spans="1:9" ht="28.5">
      <c r="A18" s="6" t="s">
        <v>73</v>
      </c>
      <c r="B18" s="6" t="s">
        <v>66</v>
      </c>
      <c r="C18" s="6" t="s">
        <v>74</v>
      </c>
      <c r="D18" s="6" t="s">
        <v>41</v>
      </c>
      <c r="E18" s="6" t="s">
        <v>42</v>
      </c>
      <c r="F18" s="6" t="s">
        <v>42</v>
      </c>
      <c r="G18" s="6" t="s">
        <v>42</v>
      </c>
      <c r="H18" s="6" t="s">
        <v>42</v>
      </c>
      <c r="I18" s="6" t="s">
        <v>42</v>
      </c>
    </row>
    <row r="19" spans="1:9" ht="28.5">
      <c r="A19" s="6" t="s">
        <v>75</v>
      </c>
      <c r="B19" s="6" t="s">
        <v>66</v>
      </c>
      <c r="C19" s="6" t="s">
        <v>76</v>
      </c>
      <c r="D19" s="6" t="s">
        <v>41</v>
      </c>
      <c r="E19" s="6" t="s">
        <v>42</v>
      </c>
      <c r="F19" s="6" t="s">
        <v>42</v>
      </c>
      <c r="G19" s="6" t="s">
        <v>42</v>
      </c>
      <c r="H19" s="6" t="s">
        <v>42</v>
      </c>
      <c r="I19" s="6" t="s">
        <v>42</v>
      </c>
    </row>
    <row r="20" spans="1:9" ht="28.5">
      <c r="A20" s="6" t="s">
        <v>77</v>
      </c>
      <c r="B20" s="6" t="s">
        <v>66</v>
      </c>
      <c r="C20" s="6" t="s">
        <v>78</v>
      </c>
      <c r="D20" s="6" t="s">
        <v>41</v>
      </c>
      <c r="E20" s="6" t="s">
        <v>42</v>
      </c>
      <c r="F20" s="6" t="s">
        <v>42</v>
      </c>
      <c r="G20" s="6" t="s">
        <v>42</v>
      </c>
      <c r="H20" s="6" t="s">
        <v>42</v>
      </c>
      <c r="I20" s="6" t="s">
        <v>42</v>
      </c>
    </row>
    <row r="21" spans="1:9">
      <c r="A21" s="6" t="s">
        <v>79</v>
      </c>
      <c r="B21" s="6" t="s">
        <v>66</v>
      </c>
      <c r="C21" s="6" t="s">
        <v>80</v>
      </c>
      <c r="D21" s="6" t="s">
        <v>41</v>
      </c>
      <c r="E21" s="6" t="s">
        <v>42</v>
      </c>
      <c r="F21" s="6" t="s">
        <v>42</v>
      </c>
      <c r="G21" s="6" t="s">
        <v>42</v>
      </c>
      <c r="H21" s="6" t="s">
        <v>42</v>
      </c>
      <c r="I21" s="6" t="s">
        <v>42</v>
      </c>
    </row>
    <row r="22" spans="1:9" ht="28.5">
      <c r="A22" s="6" t="s">
        <v>81</v>
      </c>
      <c r="B22" s="6" t="s">
        <v>66</v>
      </c>
      <c r="C22" s="6" t="s">
        <v>82</v>
      </c>
      <c r="D22" s="6" t="s">
        <v>41</v>
      </c>
      <c r="E22" s="6" t="s">
        <v>42</v>
      </c>
      <c r="F22" s="6" t="s">
        <v>42</v>
      </c>
      <c r="G22" s="6" t="s">
        <v>42</v>
      </c>
      <c r="H22" s="6" t="s">
        <v>42</v>
      </c>
      <c r="I22" s="6" t="s">
        <v>42</v>
      </c>
    </row>
    <row r="23" spans="1:9">
      <c r="A23" s="6" t="s">
        <v>83</v>
      </c>
      <c r="B23" s="6" t="s">
        <v>84</v>
      </c>
      <c r="C23" s="6" t="s">
        <v>85</v>
      </c>
      <c r="D23" s="6" t="s">
        <v>41</v>
      </c>
      <c r="E23" s="6" t="s">
        <v>42</v>
      </c>
      <c r="F23" s="6" t="s">
        <v>42</v>
      </c>
      <c r="G23" s="6" t="s">
        <v>42</v>
      </c>
      <c r="H23" s="6" t="s">
        <v>42</v>
      </c>
      <c r="I23" s="6" t="s">
        <v>42</v>
      </c>
    </row>
    <row r="24" spans="1:9">
      <c r="A24" s="6" t="s">
        <v>86</v>
      </c>
      <c r="B24" s="6" t="s">
        <v>84</v>
      </c>
      <c r="C24" s="6" t="s">
        <v>87</v>
      </c>
      <c r="D24" s="6" t="s">
        <v>41</v>
      </c>
      <c r="E24" s="6" t="s">
        <v>42</v>
      </c>
      <c r="F24" s="6" t="s">
        <v>42</v>
      </c>
      <c r="G24" s="6" t="s">
        <v>42</v>
      </c>
      <c r="H24" s="6" t="s">
        <v>42</v>
      </c>
      <c r="I24" s="6" t="s">
        <v>42</v>
      </c>
    </row>
    <row r="25" spans="1:9" ht="28.5">
      <c r="A25" s="6" t="s">
        <v>88</v>
      </c>
      <c r="B25" s="6" t="s">
        <v>84</v>
      </c>
      <c r="C25" s="6" t="s">
        <v>89</v>
      </c>
      <c r="D25" s="6" t="s">
        <v>41</v>
      </c>
      <c r="E25" s="6" t="s">
        <v>42</v>
      </c>
      <c r="F25" s="6" t="s">
        <v>42</v>
      </c>
      <c r="G25" s="6" t="s">
        <v>42</v>
      </c>
      <c r="H25" s="6" t="s">
        <v>42</v>
      </c>
      <c r="I25" s="6" t="s">
        <v>42</v>
      </c>
    </row>
    <row r="26" spans="1:9" ht="28.5">
      <c r="A26" s="6" t="s">
        <v>90</v>
      </c>
      <c r="B26" s="6" t="s">
        <v>84</v>
      </c>
      <c r="C26" s="6" t="s">
        <v>91</v>
      </c>
      <c r="D26" s="6" t="s">
        <v>41</v>
      </c>
      <c r="E26" s="6" t="s">
        <v>42</v>
      </c>
      <c r="F26" s="6" t="s">
        <v>42</v>
      </c>
      <c r="G26" s="6" t="s">
        <v>42</v>
      </c>
      <c r="H26" s="6" t="s">
        <v>42</v>
      </c>
      <c r="I26" s="6" t="s">
        <v>42</v>
      </c>
    </row>
    <row r="27" spans="1:9">
      <c r="A27" s="6" t="s">
        <v>92</v>
      </c>
      <c r="B27" s="6" t="s">
        <v>84</v>
      </c>
      <c r="C27" s="6" t="s">
        <v>93</v>
      </c>
      <c r="D27" s="6" t="s">
        <v>41</v>
      </c>
      <c r="E27" s="6" t="s">
        <v>42</v>
      </c>
      <c r="F27" s="6" t="s">
        <v>42</v>
      </c>
      <c r="G27" s="6" t="s">
        <v>42</v>
      </c>
      <c r="H27" s="6" t="s">
        <v>42</v>
      </c>
      <c r="I27" s="6" t="s">
        <v>42</v>
      </c>
    </row>
    <row r="28" spans="1:9">
      <c r="A28" s="6" t="s">
        <v>94</v>
      </c>
      <c r="B28" s="6" t="s">
        <v>84</v>
      </c>
      <c r="C28" s="6" t="s">
        <v>95</v>
      </c>
      <c r="D28" s="6" t="s">
        <v>41</v>
      </c>
      <c r="E28" s="6" t="s">
        <v>42</v>
      </c>
      <c r="F28" s="6" t="s">
        <v>42</v>
      </c>
      <c r="G28" s="6" t="s">
        <v>42</v>
      </c>
      <c r="H28" s="6" t="s">
        <v>42</v>
      </c>
      <c r="I28" s="6" t="s">
        <v>42</v>
      </c>
    </row>
    <row r="29" spans="1:9">
      <c r="A29" s="6" t="s">
        <v>96</v>
      </c>
      <c r="B29" s="6" t="s">
        <v>84</v>
      </c>
      <c r="C29" s="6" t="s">
        <v>97</v>
      </c>
      <c r="D29" s="6" t="s">
        <v>41</v>
      </c>
      <c r="E29" s="6" t="s">
        <v>42</v>
      </c>
      <c r="F29" s="6" t="s">
        <v>42</v>
      </c>
      <c r="G29" s="6" t="s">
        <v>42</v>
      </c>
      <c r="H29" s="6" t="s">
        <v>42</v>
      </c>
      <c r="I29" s="6" t="s">
        <v>42</v>
      </c>
    </row>
    <row r="30" spans="1:9">
      <c r="A30" s="6" t="s">
        <v>98</v>
      </c>
      <c r="B30" s="6" t="s">
        <v>84</v>
      </c>
      <c r="C30" s="6" t="s">
        <v>99</v>
      </c>
      <c r="D30" s="6" t="s">
        <v>41</v>
      </c>
      <c r="E30" s="6" t="s">
        <v>42</v>
      </c>
      <c r="F30" s="6" t="s">
        <v>42</v>
      </c>
      <c r="G30" s="6" t="s">
        <v>42</v>
      </c>
      <c r="H30" s="6" t="s">
        <v>42</v>
      </c>
      <c r="I30" s="6" t="s">
        <v>42</v>
      </c>
    </row>
    <row r="31" spans="1:9">
      <c r="A31" s="6" t="s">
        <v>100</v>
      </c>
      <c r="B31" s="6" t="s">
        <v>101</v>
      </c>
      <c r="C31" s="6" t="s">
        <v>102</v>
      </c>
      <c r="D31" s="6" t="s">
        <v>41</v>
      </c>
      <c r="E31" s="6" t="s">
        <v>42</v>
      </c>
      <c r="F31" s="6" t="s">
        <v>42</v>
      </c>
      <c r="G31" s="6" t="s">
        <v>42</v>
      </c>
      <c r="H31" s="6" t="s">
        <v>42</v>
      </c>
      <c r="I31" s="6" t="s">
        <v>42</v>
      </c>
    </row>
    <row r="32" spans="1:9">
      <c r="A32" s="6" t="s">
        <v>103</v>
      </c>
      <c r="B32" s="6" t="s">
        <v>101</v>
      </c>
      <c r="C32" s="6" t="s">
        <v>104</v>
      </c>
      <c r="D32" s="6" t="s">
        <v>41</v>
      </c>
      <c r="E32" s="6" t="s">
        <v>42</v>
      </c>
      <c r="F32" s="6" t="s">
        <v>42</v>
      </c>
      <c r="G32" s="6" t="s">
        <v>42</v>
      </c>
      <c r="H32" s="6" t="s">
        <v>42</v>
      </c>
      <c r="I32" s="6" t="s">
        <v>42</v>
      </c>
    </row>
    <row r="33" spans="1:9" ht="28.5">
      <c r="A33" s="6" t="s">
        <v>105</v>
      </c>
      <c r="B33" s="6" t="s">
        <v>101</v>
      </c>
      <c r="C33" s="6" t="s">
        <v>106</v>
      </c>
      <c r="D33" s="6" t="s">
        <v>41</v>
      </c>
      <c r="E33" s="6" t="s">
        <v>42</v>
      </c>
      <c r="F33" s="6" t="s">
        <v>42</v>
      </c>
      <c r="G33" s="6" t="s">
        <v>42</v>
      </c>
      <c r="H33" s="6" t="s">
        <v>42</v>
      </c>
      <c r="I33" s="6" t="s">
        <v>42</v>
      </c>
    </row>
    <row r="34" spans="1:9">
      <c r="A34" s="6" t="s">
        <v>107</v>
      </c>
      <c r="B34" s="6" t="s">
        <v>101</v>
      </c>
      <c r="C34" s="6" t="s">
        <v>108</v>
      </c>
      <c r="D34" s="6" t="s">
        <v>41</v>
      </c>
      <c r="E34" s="6" t="s">
        <v>42</v>
      </c>
      <c r="F34" s="6" t="s">
        <v>42</v>
      </c>
      <c r="G34" s="6" t="s">
        <v>42</v>
      </c>
      <c r="H34" s="6" t="s">
        <v>42</v>
      </c>
      <c r="I34" s="6" t="s">
        <v>42</v>
      </c>
    </row>
    <row r="35" spans="1:9">
      <c r="A35" s="6" t="s">
        <v>109</v>
      </c>
      <c r="B35" s="6" t="s">
        <v>101</v>
      </c>
      <c r="C35" s="6" t="s">
        <v>110</v>
      </c>
      <c r="D35" s="6" t="s">
        <v>41</v>
      </c>
      <c r="E35" s="6" t="s">
        <v>42</v>
      </c>
      <c r="F35" s="6" t="s">
        <v>42</v>
      </c>
      <c r="G35" s="6" t="s">
        <v>42</v>
      </c>
      <c r="H35" s="6" t="s">
        <v>42</v>
      </c>
      <c r="I35" s="6" t="s">
        <v>42</v>
      </c>
    </row>
    <row r="36" spans="1:9">
      <c r="A36" s="6" t="s">
        <v>111</v>
      </c>
      <c r="B36" s="6" t="s">
        <v>101</v>
      </c>
      <c r="C36" s="6" t="s">
        <v>112</v>
      </c>
      <c r="D36" s="6" t="s">
        <v>41</v>
      </c>
      <c r="E36" s="6" t="s">
        <v>42</v>
      </c>
      <c r="F36" s="6" t="s">
        <v>42</v>
      </c>
      <c r="G36" s="6" t="s">
        <v>42</v>
      </c>
      <c r="H36" s="6" t="s">
        <v>42</v>
      </c>
      <c r="I36" s="6" t="s">
        <v>42</v>
      </c>
    </row>
    <row r="37" spans="1:9">
      <c r="A37" s="6" t="s">
        <v>113</v>
      </c>
      <c r="B37" s="6" t="s">
        <v>101</v>
      </c>
      <c r="C37" s="6" t="s">
        <v>114</v>
      </c>
      <c r="D37" s="6" t="s">
        <v>41</v>
      </c>
      <c r="E37" s="6" t="s">
        <v>42</v>
      </c>
      <c r="F37" s="6" t="s">
        <v>42</v>
      </c>
      <c r="G37" s="6" t="s">
        <v>42</v>
      </c>
      <c r="H37" s="6" t="s">
        <v>42</v>
      </c>
      <c r="I37" s="6" t="s">
        <v>42</v>
      </c>
    </row>
    <row r="38" spans="1:9">
      <c r="A38" s="6" t="s">
        <v>115</v>
      </c>
      <c r="B38" s="6" t="s">
        <v>101</v>
      </c>
      <c r="C38" s="6" t="s">
        <v>116</v>
      </c>
      <c r="D38" s="6" t="s">
        <v>41</v>
      </c>
      <c r="E38" s="6" t="s">
        <v>42</v>
      </c>
      <c r="F38" s="6" t="s">
        <v>42</v>
      </c>
      <c r="G38" s="6" t="s">
        <v>42</v>
      </c>
      <c r="H38" s="6" t="s">
        <v>42</v>
      </c>
      <c r="I38" s="6" t="s">
        <v>42</v>
      </c>
    </row>
    <row r="39" spans="1:9">
      <c r="A39" s="6" t="s">
        <v>117</v>
      </c>
      <c r="B39" s="6" t="s">
        <v>118</v>
      </c>
      <c r="C39" s="6" t="s">
        <v>119</v>
      </c>
      <c r="D39" s="6" t="s">
        <v>41</v>
      </c>
      <c r="E39" s="6" t="s">
        <v>42</v>
      </c>
      <c r="F39" s="6" t="s">
        <v>42</v>
      </c>
      <c r="G39" s="6" t="s">
        <v>42</v>
      </c>
      <c r="H39" s="6" t="s">
        <v>42</v>
      </c>
      <c r="I39" s="6" t="s">
        <v>42</v>
      </c>
    </row>
    <row r="40" spans="1:9">
      <c r="A40" s="6" t="s">
        <v>120</v>
      </c>
      <c r="B40" s="6" t="s">
        <v>118</v>
      </c>
      <c r="C40" s="6" t="s">
        <v>121</v>
      </c>
      <c r="D40" s="6" t="s">
        <v>41</v>
      </c>
      <c r="E40" s="6" t="s">
        <v>42</v>
      </c>
      <c r="F40" s="6" t="s">
        <v>42</v>
      </c>
      <c r="G40" s="6" t="s">
        <v>42</v>
      </c>
      <c r="H40" s="6" t="s">
        <v>42</v>
      </c>
      <c r="I40" s="6" t="s">
        <v>42</v>
      </c>
    </row>
    <row r="41" spans="1:9">
      <c r="A41" s="6" t="s">
        <v>122</v>
      </c>
      <c r="B41" s="6" t="s">
        <v>118</v>
      </c>
      <c r="C41" s="6" t="s">
        <v>123</v>
      </c>
      <c r="D41" s="6" t="s">
        <v>41</v>
      </c>
      <c r="E41" s="6" t="s">
        <v>42</v>
      </c>
      <c r="F41" s="6" t="s">
        <v>42</v>
      </c>
      <c r="G41" s="6" t="s">
        <v>42</v>
      </c>
      <c r="H41" s="6" t="s">
        <v>42</v>
      </c>
      <c r="I41" s="6" t="s">
        <v>42</v>
      </c>
    </row>
    <row r="42" spans="1:9">
      <c r="A42" s="6" t="s">
        <v>124</v>
      </c>
      <c r="B42" s="6" t="s">
        <v>118</v>
      </c>
      <c r="C42" s="6" t="s">
        <v>125</v>
      </c>
      <c r="D42" s="6" t="s">
        <v>41</v>
      </c>
      <c r="E42" s="6" t="s">
        <v>42</v>
      </c>
      <c r="F42" s="6" t="s">
        <v>42</v>
      </c>
      <c r="G42" s="6" t="s">
        <v>42</v>
      </c>
      <c r="H42" s="6" t="s">
        <v>42</v>
      </c>
      <c r="I42" s="6" t="s">
        <v>42</v>
      </c>
    </row>
    <row r="43" spans="1:9">
      <c r="A43" s="6" t="s">
        <v>126</v>
      </c>
      <c r="B43" s="6" t="s">
        <v>118</v>
      </c>
      <c r="C43" s="6" t="s">
        <v>127</v>
      </c>
      <c r="D43" s="6" t="s">
        <v>41</v>
      </c>
      <c r="E43" s="6" t="s">
        <v>42</v>
      </c>
      <c r="F43" s="6" t="s">
        <v>42</v>
      </c>
      <c r="G43" s="6" t="s">
        <v>42</v>
      </c>
      <c r="H43" s="6" t="s">
        <v>42</v>
      </c>
      <c r="I43" s="6" t="s">
        <v>42</v>
      </c>
    </row>
    <row r="44" spans="1:9">
      <c r="A44" s="6" t="s">
        <v>128</v>
      </c>
      <c r="B44" s="6" t="s">
        <v>118</v>
      </c>
      <c r="C44" s="6" t="s">
        <v>129</v>
      </c>
      <c r="D44" s="6" t="s">
        <v>41</v>
      </c>
      <c r="E44" s="6" t="s">
        <v>42</v>
      </c>
      <c r="F44" s="6" t="s">
        <v>42</v>
      </c>
      <c r="G44" s="6" t="s">
        <v>42</v>
      </c>
      <c r="H44" s="6" t="s">
        <v>42</v>
      </c>
      <c r="I44" s="6" t="s">
        <v>42</v>
      </c>
    </row>
    <row r="45" spans="1:9">
      <c r="A45" s="6" t="s">
        <v>130</v>
      </c>
      <c r="B45" s="6" t="s">
        <v>131</v>
      </c>
      <c r="C45" s="6" t="s">
        <v>132</v>
      </c>
      <c r="D45" s="6" t="s">
        <v>41</v>
      </c>
      <c r="E45" s="6" t="s">
        <v>42</v>
      </c>
      <c r="F45" s="6" t="s">
        <v>42</v>
      </c>
      <c r="G45" s="6" t="s">
        <v>42</v>
      </c>
      <c r="H45" s="6" t="s">
        <v>42</v>
      </c>
      <c r="I45" s="6" t="s">
        <v>42</v>
      </c>
    </row>
    <row r="46" spans="1:9">
      <c r="A46" s="6" t="s">
        <v>133</v>
      </c>
      <c r="B46" s="6" t="s">
        <v>131</v>
      </c>
      <c r="C46" s="6" t="s">
        <v>134</v>
      </c>
      <c r="D46" s="6" t="s">
        <v>41</v>
      </c>
      <c r="E46" s="6" t="s">
        <v>42</v>
      </c>
      <c r="F46" s="6" t="s">
        <v>42</v>
      </c>
      <c r="G46" s="6" t="s">
        <v>42</v>
      </c>
      <c r="H46" s="6" t="s">
        <v>42</v>
      </c>
      <c r="I46" s="6" t="s">
        <v>42</v>
      </c>
    </row>
    <row r="47" spans="1:9">
      <c r="A47" s="6" t="s">
        <v>135</v>
      </c>
      <c r="B47" s="6" t="s">
        <v>131</v>
      </c>
      <c r="C47" s="6" t="s">
        <v>136</v>
      </c>
      <c r="D47" s="6" t="s">
        <v>41</v>
      </c>
      <c r="E47" s="6" t="s">
        <v>42</v>
      </c>
      <c r="F47" s="6" t="s">
        <v>42</v>
      </c>
      <c r="G47" s="6" t="s">
        <v>42</v>
      </c>
      <c r="H47" s="6" t="s">
        <v>42</v>
      </c>
      <c r="I47" s="6" t="s">
        <v>42</v>
      </c>
    </row>
    <row r="48" spans="1:9">
      <c r="A48" s="6" t="s">
        <v>137</v>
      </c>
      <c r="B48" s="6" t="s">
        <v>131</v>
      </c>
      <c r="C48" s="6" t="s">
        <v>138</v>
      </c>
      <c r="D48" s="6" t="s">
        <v>41</v>
      </c>
      <c r="E48" s="6" t="s">
        <v>42</v>
      </c>
      <c r="F48" s="6" t="s">
        <v>42</v>
      </c>
      <c r="G48" s="6" t="s">
        <v>42</v>
      </c>
      <c r="H48" s="6" t="s">
        <v>42</v>
      </c>
      <c r="I48" s="6" t="s">
        <v>42</v>
      </c>
    </row>
    <row r="49" spans="1:9">
      <c r="A49" s="6" t="s">
        <v>139</v>
      </c>
      <c r="B49" s="6" t="s">
        <v>131</v>
      </c>
      <c r="C49" s="6" t="s">
        <v>140</v>
      </c>
      <c r="D49" s="6" t="s">
        <v>41</v>
      </c>
      <c r="E49" s="6" t="s">
        <v>42</v>
      </c>
      <c r="F49" s="6" t="s">
        <v>42</v>
      </c>
      <c r="G49" s="6" t="s">
        <v>42</v>
      </c>
      <c r="H49" s="6" t="s">
        <v>42</v>
      </c>
      <c r="I49" s="6" t="s">
        <v>42</v>
      </c>
    </row>
    <row r="50" spans="1:9">
      <c r="A50" s="6" t="s">
        <v>141</v>
      </c>
      <c r="B50" s="6" t="s">
        <v>131</v>
      </c>
      <c r="C50" s="6" t="s">
        <v>142</v>
      </c>
      <c r="D50" s="6" t="s">
        <v>41</v>
      </c>
      <c r="E50" s="6" t="s">
        <v>42</v>
      </c>
      <c r="F50" s="6" t="s">
        <v>42</v>
      </c>
      <c r="G50" s="6" t="s">
        <v>42</v>
      </c>
      <c r="H50" s="6" t="s">
        <v>42</v>
      </c>
      <c r="I50" s="6" t="s">
        <v>42</v>
      </c>
    </row>
    <row r="51" spans="1:9" ht="28.5">
      <c r="A51" s="6" t="s">
        <v>143</v>
      </c>
      <c r="B51" s="6" t="s">
        <v>131</v>
      </c>
      <c r="C51" s="6" t="s">
        <v>144</v>
      </c>
      <c r="D51" s="6" t="s">
        <v>13</v>
      </c>
      <c r="E51" s="6" t="s">
        <v>145</v>
      </c>
      <c r="F51" s="6" t="s">
        <v>146</v>
      </c>
      <c r="G51" s="6" t="s">
        <v>42</v>
      </c>
      <c r="H51" s="6" t="s">
        <v>42</v>
      </c>
      <c r="I51" s="6" t="s">
        <v>147</v>
      </c>
    </row>
    <row r="52" spans="1:9">
      <c r="A52" s="6" t="s">
        <v>148</v>
      </c>
      <c r="B52" s="6" t="s">
        <v>131</v>
      </c>
      <c r="C52" s="6" t="s">
        <v>149</v>
      </c>
      <c r="D52" s="6" t="s">
        <v>41</v>
      </c>
      <c r="E52" s="6" t="s">
        <v>42</v>
      </c>
      <c r="F52" s="6" t="s">
        <v>42</v>
      </c>
      <c r="G52" s="6" t="s">
        <v>42</v>
      </c>
      <c r="H52" s="6" t="s">
        <v>42</v>
      </c>
      <c r="I52" s="6" t="s">
        <v>42</v>
      </c>
    </row>
    <row r="53" spans="1:9">
      <c r="A53" s="6" t="s">
        <v>150</v>
      </c>
      <c r="B53" s="6" t="s">
        <v>151</v>
      </c>
      <c r="C53" s="6" t="s">
        <v>152</v>
      </c>
      <c r="D53" s="6" t="s">
        <v>41</v>
      </c>
      <c r="E53" s="6" t="s">
        <v>42</v>
      </c>
      <c r="F53" s="6" t="s">
        <v>42</v>
      </c>
      <c r="G53" s="6" t="s">
        <v>42</v>
      </c>
      <c r="H53" s="6" t="s">
        <v>42</v>
      </c>
      <c r="I53" s="6" t="s">
        <v>42</v>
      </c>
    </row>
    <row r="54" spans="1:9">
      <c r="A54" s="6" t="s">
        <v>153</v>
      </c>
      <c r="B54" s="6" t="s">
        <v>151</v>
      </c>
      <c r="C54" s="6" t="s">
        <v>154</v>
      </c>
      <c r="D54" s="6" t="s">
        <v>41</v>
      </c>
      <c r="E54" s="6" t="s">
        <v>42</v>
      </c>
      <c r="F54" s="6" t="s">
        <v>42</v>
      </c>
      <c r="G54" s="6" t="s">
        <v>42</v>
      </c>
      <c r="H54" s="6" t="s">
        <v>42</v>
      </c>
      <c r="I54" s="6" t="s">
        <v>42</v>
      </c>
    </row>
    <row r="55" spans="1:9">
      <c r="A55" s="6" t="s">
        <v>155</v>
      </c>
      <c r="B55" s="6" t="s">
        <v>151</v>
      </c>
      <c r="C55" s="6" t="s">
        <v>156</v>
      </c>
      <c r="D55" s="6" t="s">
        <v>41</v>
      </c>
      <c r="E55" s="6" t="s">
        <v>42</v>
      </c>
      <c r="F55" s="6" t="s">
        <v>42</v>
      </c>
      <c r="G55" s="6" t="s">
        <v>42</v>
      </c>
      <c r="H55" s="6" t="s">
        <v>42</v>
      </c>
      <c r="I55" s="6" t="s">
        <v>42</v>
      </c>
    </row>
    <row r="56" spans="1:9">
      <c r="A56" s="6" t="s">
        <v>157</v>
      </c>
      <c r="B56" s="6" t="s">
        <v>151</v>
      </c>
      <c r="C56" s="6" t="s">
        <v>158</v>
      </c>
      <c r="D56" s="6" t="s">
        <v>41</v>
      </c>
      <c r="E56" s="6" t="s">
        <v>42</v>
      </c>
      <c r="F56" s="6" t="s">
        <v>42</v>
      </c>
      <c r="G56" s="6" t="s">
        <v>42</v>
      </c>
      <c r="H56" s="6" t="s">
        <v>42</v>
      </c>
      <c r="I56" s="6" t="s">
        <v>42</v>
      </c>
    </row>
    <row r="57" spans="1:9">
      <c r="A57" s="6" t="s">
        <v>159</v>
      </c>
      <c r="B57" s="6" t="s">
        <v>151</v>
      </c>
      <c r="C57" s="6" t="s">
        <v>160</v>
      </c>
      <c r="D57" s="6" t="s">
        <v>41</v>
      </c>
      <c r="E57" s="6" t="s">
        <v>42</v>
      </c>
      <c r="F57" s="6" t="s">
        <v>42</v>
      </c>
      <c r="G57" s="6" t="s">
        <v>42</v>
      </c>
      <c r="H57" s="6" t="s">
        <v>42</v>
      </c>
      <c r="I57" s="6" t="s">
        <v>42</v>
      </c>
    </row>
    <row r="58" spans="1:9">
      <c r="A58" s="6" t="s">
        <v>161</v>
      </c>
      <c r="B58" s="6" t="s">
        <v>151</v>
      </c>
      <c r="C58" s="6" t="s">
        <v>162</v>
      </c>
      <c r="D58" s="6" t="s">
        <v>41</v>
      </c>
      <c r="E58" s="6" t="s">
        <v>42</v>
      </c>
      <c r="F58" s="6" t="s">
        <v>42</v>
      </c>
      <c r="G58" s="6" t="s">
        <v>42</v>
      </c>
      <c r="H58" s="6" t="s">
        <v>42</v>
      </c>
      <c r="I58" s="6" t="s">
        <v>42</v>
      </c>
    </row>
    <row r="59" spans="1:9">
      <c r="A59" s="6" t="s">
        <v>163</v>
      </c>
      <c r="B59" s="6" t="s">
        <v>151</v>
      </c>
      <c r="C59" s="6" t="s">
        <v>164</v>
      </c>
      <c r="D59" s="6" t="s">
        <v>41</v>
      </c>
      <c r="E59" s="6" t="s">
        <v>42</v>
      </c>
      <c r="F59" s="6" t="s">
        <v>42</v>
      </c>
      <c r="G59" s="6" t="s">
        <v>42</v>
      </c>
      <c r="H59" s="6" t="s">
        <v>42</v>
      </c>
      <c r="I59" s="6" t="s">
        <v>42</v>
      </c>
    </row>
    <row r="60" spans="1:9">
      <c r="A60" s="6" t="s">
        <v>165</v>
      </c>
      <c r="B60" s="6" t="s">
        <v>166</v>
      </c>
      <c r="C60" s="6" t="s">
        <v>167</v>
      </c>
      <c r="D60" s="6" t="s">
        <v>41</v>
      </c>
      <c r="E60" s="6" t="s">
        <v>42</v>
      </c>
      <c r="F60" s="6" t="s">
        <v>42</v>
      </c>
      <c r="G60" s="6" t="s">
        <v>42</v>
      </c>
      <c r="H60" s="6" t="s">
        <v>42</v>
      </c>
      <c r="I60" s="6" t="s">
        <v>42</v>
      </c>
    </row>
    <row r="61" spans="1:9">
      <c r="A61" s="6" t="s">
        <v>168</v>
      </c>
      <c r="B61" s="6" t="s">
        <v>166</v>
      </c>
      <c r="C61" s="6" t="s">
        <v>169</v>
      </c>
      <c r="D61" s="6" t="s">
        <v>41</v>
      </c>
      <c r="E61" s="6" t="s">
        <v>42</v>
      </c>
      <c r="F61" s="6" t="s">
        <v>42</v>
      </c>
      <c r="G61" s="6" t="s">
        <v>42</v>
      </c>
      <c r="H61" s="6" t="s">
        <v>42</v>
      </c>
      <c r="I61" s="6" t="s">
        <v>42</v>
      </c>
    </row>
    <row r="62" spans="1:9">
      <c r="A62" s="6" t="s">
        <v>170</v>
      </c>
      <c r="B62" s="6" t="s">
        <v>166</v>
      </c>
      <c r="C62" s="6" t="s">
        <v>171</v>
      </c>
      <c r="D62" s="6" t="s">
        <v>41</v>
      </c>
      <c r="E62" s="6" t="s">
        <v>42</v>
      </c>
      <c r="F62" s="6" t="s">
        <v>42</v>
      </c>
      <c r="G62" s="6" t="s">
        <v>42</v>
      </c>
      <c r="H62" s="6" t="s">
        <v>42</v>
      </c>
      <c r="I62" s="6" t="s">
        <v>42</v>
      </c>
    </row>
    <row r="63" spans="1:9">
      <c r="A63" s="6" t="s">
        <v>172</v>
      </c>
      <c r="B63" s="6" t="s">
        <v>166</v>
      </c>
      <c r="C63" s="6" t="s">
        <v>173</v>
      </c>
      <c r="D63" s="6" t="s">
        <v>41</v>
      </c>
      <c r="E63" s="6" t="s">
        <v>42</v>
      </c>
      <c r="F63" s="6" t="s">
        <v>42</v>
      </c>
      <c r="G63" s="6" t="s">
        <v>42</v>
      </c>
      <c r="H63" s="6" t="s">
        <v>42</v>
      </c>
      <c r="I63" s="6" t="s">
        <v>42</v>
      </c>
    </row>
    <row r="64" spans="1:9">
      <c r="A64" s="6" t="s">
        <v>174</v>
      </c>
      <c r="B64" s="6" t="s">
        <v>166</v>
      </c>
      <c r="C64" s="6" t="s">
        <v>175</v>
      </c>
      <c r="D64" s="6" t="s">
        <v>41</v>
      </c>
      <c r="E64" s="6" t="s">
        <v>42</v>
      </c>
      <c r="F64" s="6" t="s">
        <v>42</v>
      </c>
      <c r="G64" s="6" t="s">
        <v>42</v>
      </c>
      <c r="H64" s="6" t="s">
        <v>42</v>
      </c>
      <c r="I64" s="6" t="s">
        <v>42</v>
      </c>
    </row>
    <row r="65" spans="1:9">
      <c r="A65" s="6" t="s">
        <v>176</v>
      </c>
      <c r="B65" s="6" t="s">
        <v>166</v>
      </c>
      <c r="C65" s="6" t="s">
        <v>177</v>
      </c>
      <c r="D65" s="6" t="s">
        <v>41</v>
      </c>
      <c r="E65" s="6" t="s">
        <v>42</v>
      </c>
      <c r="F65" s="6" t="s">
        <v>42</v>
      </c>
      <c r="G65" s="6" t="s">
        <v>42</v>
      </c>
      <c r="H65" s="6" t="s">
        <v>42</v>
      </c>
      <c r="I65" s="6" t="s">
        <v>42</v>
      </c>
    </row>
    <row r="66" spans="1:9">
      <c r="A66" s="6" t="s">
        <v>178</v>
      </c>
      <c r="B66" s="6" t="s">
        <v>166</v>
      </c>
      <c r="C66" s="6" t="s">
        <v>179</v>
      </c>
      <c r="D66" s="6" t="s">
        <v>41</v>
      </c>
      <c r="E66" s="6" t="s">
        <v>42</v>
      </c>
      <c r="F66" s="6" t="s">
        <v>42</v>
      </c>
      <c r="G66" s="6" t="s">
        <v>42</v>
      </c>
      <c r="H66" s="6" t="s">
        <v>42</v>
      </c>
      <c r="I66" s="6" t="s">
        <v>42</v>
      </c>
    </row>
    <row r="67" spans="1:9">
      <c r="A67" s="6" t="s">
        <v>180</v>
      </c>
      <c r="B67" s="6" t="s">
        <v>166</v>
      </c>
      <c r="C67" s="6" t="s">
        <v>181</v>
      </c>
      <c r="D67" s="6" t="s">
        <v>41</v>
      </c>
      <c r="E67" s="6" t="s">
        <v>42</v>
      </c>
      <c r="F67" s="6" t="s">
        <v>42</v>
      </c>
      <c r="G67" s="6" t="s">
        <v>42</v>
      </c>
      <c r="H67" s="6" t="s">
        <v>42</v>
      </c>
      <c r="I67" s="6" t="s">
        <v>42</v>
      </c>
    </row>
    <row r="68" spans="1:9">
      <c r="A68" s="6" t="s">
        <v>182</v>
      </c>
      <c r="B68" s="6" t="s">
        <v>183</v>
      </c>
      <c r="C68" s="6" t="s">
        <v>58</v>
      </c>
      <c r="D68" s="6" t="s">
        <v>41</v>
      </c>
      <c r="E68" s="6" t="s">
        <v>42</v>
      </c>
      <c r="F68" s="6" t="s">
        <v>42</v>
      </c>
      <c r="G68" s="6" t="s">
        <v>42</v>
      </c>
      <c r="H68" s="6" t="s">
        <v>42</v>
      </c>
      <c r="I68" s="6" t="s">
        <v>42</v>
      </c>
    </row>
    <row r="69" spans="1:9">
      <c r="A69" s="6" t="s">
        <v>184</v>
      </c>
      <c r="B69" s="6" t="s">
        <v>183</v>
      </c>
      <c r="C69" s="6" t="s">
        <v>185</v>
      </c>
      <c r="D69" s="6" t="s">
        <v>41</v>
      </c>
      <c r="E69" s="6" t="s">
        <v>42</v>
      </c>
      <c r="F69" s="6" t="s">
        <v>42</v>
      </c>
      <c r="G69" s="6" t="s">
        <v>42</v>
      </c>
      <c r="H69" s="6" t="s">
        <v>42</v>
      </c>
      <c r="I69" s="6" t="s">
        <v>42</v>
      </c>
    </row>
    <row r="70" spans="1:9">
      <c r="A70" s="6" t="s">
        <v>186</v>
      </c>
      <c r="B70" s="6" t="s">
        <v>183</v>
      </c>
      <c r="C70" s="6" t="s">
        <v>187</v>
      </c>
      <c r="D70" s="6" t="s">
        <v>41</v>
      </c>
      <c r="E70" s="6" t="s">
        <v>42</v>
      </c>
      <c r="F70" s="6" t="s">
        <v>42</v>
      </c>
      <c r="G70" s="6" t="s">
        <v>42</v>
      </c>
      <c r="H70" s="6" t="s">
        <v>42</v>
      </c>
      <c r="I70" s="6" t="s">
        <v>42</v>
      </c>
    </row>
    <row r="71" spans="1:9">
      <c r="A71" s="6" t="s">
        <v>188</v>
      </c>
      <c r="B71" s="6" t="s">
        <v>183</v>
      </c>
      <c r="C71" s="6" t="s">
        <v>189</v>
      </c>
      <c r="D71" s="6" t="s">
        <v>41</v>
      </c>
      <c r="E71" s="6" t="s">
        <v>42</v>
      </c>
      <c r="F71" s="6" t="s">
        <v>42</v>
      </c>
      <c r="G71" s="6" t="s">
        <v>42</v>
      </c>
      <c r="H71" s="6" t="s">
        <v>42</v>
      </c>
      <c r="I71" s="6" t="s">
        <v>42</v>
      </c>
    </row>
    <row r="72" spans="1:9">
      <c r="A72" s="6" t="s">
        <v>190</v>
      </c>
      <c r="B72" s="6" t="s">
        <v>183</v>
      </c>
      <c r="C72" s="6" t="s">
        <v>191</v>
      </c>
      <c r="D72" s="6" t="s">
        <v>41</v>
      </c>
      <c r="E72" s="6" t="s">
        <v>42</v>
      </c>
      <c r="F72" s="6" t="s">
        <v>42</v>
      </c>
      <c r="G72" s="6" t="s">
        <v>42</v>
      </c>
      <c r="H72" s="6" t="s">
        <v>42</v>
      </c>
      <c r="I72" s="6" t="s">
        <v>42</v>
      </c>
    </row>
    <row r="73" spans="1:9" ht="28.5">
      <c r="A73" s="6" t="s">
        <v>192</v>
      </c>
      <c r="B73" s="6" t="s">
        <v>183</v>
      </c>
      <c r="C73" s="6" t="s">
        <v>193</v>
      </c>
      <c r="D73" s="6" t="s">
        <v>41</v>
      </c>
      <c r="E73" s="6" t="s">
        <v>42</v>
      </c>
      <c r="F73" s="6" t="s">
        <v>42</v>
      </c>
      <c r="G73" s="6" t="s">
        <v>42</v>
      </c>
      <c r="H73" s="6" t="s">
        <v>42</v>
      </c>
      <c r="I73" s="6" t="s">
        <v>42</v>
      </c>
    </row>
    <row r="74" spans="1:9">
      <c r="A74" s="6" t="s">
        <v>194</v>
      </c>
      <c r="B74" s="6" t="s">
        <v>183</v>
      </c>
      <c r="C74" s="6" t="s">
        <v>195</v>
      </c>
      <c r="D74" s="6" t="s">
        <v>41</v>
      </c>
      <c r="E74" s="6" t="s">
        <v>42</v>
      </c>
      <c r="F74" s="6" t="s">
        <v>42</v>
      </c>
      <c r="G74" s="6" t="s">
        <v>42</v>
      </c>
      <c r="H74" s="6" t="s">
        <v>42</v>
      </c>
      <c r="I74" s="6" t="s">
        <v>42</v>
      </c>
    </row>
    <row r="75" spans="1:9" ht="28.5">
      <c r="A75" s="6" t="s">
        <v>196</v>
      </c>
      <c r="B75" s="6" t="s">
        <v>183</v>
      </c>
      <c r="C75" s="6" t="s">
        <v>197</v>
      </c>
      <c r="D75" s="6" t="s">
        <v>41</v>
      </c>
      <c r="E75" s="6" t="s">
        <v>42</v>
      </c>
      <c r="F75" s="6" t="s">
        <v>42</v>
      </c>
      <c r="G75" s="6" t="s">
        <v>42</v>
      </c>
      <c r="H75" s="6" t="s">
        <v>42</v>
      </c>
      <c r="I75" s="6" t="s">
        <v>42</v>
      </c>
    </row>
    <row r="76" spans="1:9">
      <c r="A76" s="6" t="s">
        <v>198</v>
      </c>
      <c r="B76" s="6" t="s">
        <v>199</v>
      </c>
      <c r="C76" s="6" t="s">
        <v>200</v>
      </c>
      <c r="D76" s="6" t="s">
        <v>13</v>
      </c>
      <c r="E76" s="6" t="s">
        <v>145</v>
      </c>
      <c r="F76" s="6" t="s">
        <v>146</v>
      </c>
      <c r="G76" s="6" t="s">
        <v>42</v>
      </c>
      <c r="H76" s="6" t="s">
        <v>42</v>
      </c>
      <c r="I76" s="6" t="s">
        <v>42</v>
      </c>
    </row>
    <row r="77" spans="1:9">
      <c r="A77" s="6" t="s">
        <v>201</v>
      </c>
      <c r="B77" s="6" t="s">
        <v>199</v>
      </c>
      <c r="C77" s="6" t="s">
        <v>202</v>
      </c>
      <c r="D77" s="6" t="s">
        <v>41</v>
      </c>
      <c r="E77" s="6" t="s">
        <v>42</v>
      </c>
      <c r="F77" s="6" t="s">
        <v>42</v>
      </c>
      <c r="G77" s="6" t="s">
        <v>42</v>
      </c>
      <c r="H77" s="6" t="s">
        <v>42</v>
      </c>
      <c r="I77" s="6" t="s">
        <v>42</v>
      </c>
    </row>
    <row r="78" spans="1:9">
      <c r="A78" s="6" t="s">
        <v>203</v>
      </c>
      <c r="B78" s="6" t="s">
        <v>199</v>
      </c>
      <c r="C78" s="6" t="s">
        <v>204</v>
      </c>
      <c r="D78" s="6" t="s">
        <v>41</v>
      </c>
      <c r="E78" s="6" t="s">
        <v>42</v>
      </c>
      <c r="F78" s="6" t="s">
        <v>42</v>
      </c>
      <c r="G78" s="6" t="s">
        <v>42</v>
      </c>
      <c r="H78" s="6" t="s">
        <v>42</v>
      </c>
      <c r="I78" s="6" t="s">
        <v>42</v>
      </c>
    </row>
    <row r="79" spans="1:9">
      <c r="A79" s="6" t="s">
        <v>205</v>
      </c>
      <c r="B79" s="6" t="s">
        <v>199</v>
      </c>
      <c r="C79" s="6" t="s">
        <v>206</v>
      </c>
      <c r="D79" s="6" t="s">
        <v>41</v>
      </c>
      <c r="E79" s="6" t="s">
        <v>42</v>
      </c>
      <c r="F79" s="6" t="s">
        <v>42</v>
      </c>
      <c r="G79" s="6" t="s">
        <v>42</v>
      </c>
      <c r="H79" s="6" t="s">
        <v>42</v>
      </c>
      <c r="I79" s="6" t="s">
        <v>42</v>
      </c>
    </row>
    <row r="80" spans="1:9">
      <c r="A80" s="6" t="s">
        <v>207</v>
      </c>
      <c r="B80" s="6" t="s">
        <v>199</v>
      </c>
      <c r="C80" s="6" t="s">
        <v>208</v>
      </c>
      <c r="D80" s="6" t="s">
        <v>41</v>
      </c>
      <c r="E80" s="6" t="s">
        <v>42</v>
      </c>
      <c r="F80" s="6" t="s">
        <v>42</v>
      </c>
      <c r="G80" s="6" t="s">
        <v>42</v>
      </c>
      <c r="H80" s="6" t="s">
        <v>42</v>
      </c>
      <c r="I80" s="6" t="s">
        <v>42</v>
      </c>
    </row>
    <row r="81" spans="1:9">
      <c r="A81" s="6" t="s">
        <v>209</v>
      </c>
      <c r="B81" s="6" t="s">
        <v>199</v>
      </c>
      <c r="C81" s="6" t="s">
        <v>210</v>
      </c>
      <c r="D81" s="6" t="s">
        <v>41</v>
      </c>
      <c r="E81" s="6" t="s">
        <v>42</v>
      </c>
      <c r="F81" s="6" t="s">
        <v>42</v>
      </c>
      <c r="G81" s="6" t="s">
        <v>42</v>
      </c>
      <c r="H81" s="6" t="s">
        <v>42</v>
      </c>
      <c r="I81" s="6" t="s">
        <v>42</v>
      </c>
    </row>
    <row r="82" spans="1:9">
      <c r="A82" s="6" t="s">
        <v>211</v>
      </c>
      <c r="B82" s="6" t="s">
        <v>212</v>
      </c>
      <c r="C82" s="6" t="s">
        <v>213</v>
      </c>
      <c r="D82" s="6" t="s">
        <v>41</v>
      </c>
      <c r="E82" s="6" t="s">
        <v>42</v>
      </c>
      <c r="F82" s="6" t="s">
        <v>42</v>
      </c>
      <c r="G82" s="6" t="s">
        <v>42</v>
      </c>
      <c r="H82" s="6" t="s">
        <v>42</v>
      </c>
      <c r="I82" s="6" t="s">
        <v>42</v>
      </c>
    </row>
    <row r="83" spans="1:9">
      <c r="A83" s="6" t="s">
        <v>214</v>
      </c>
      <c r="B83" s="6" t="s">
        <v>212</v>
      </c>
      <c r="C83" s="6" t="s">
        <v>215</v>
      </c>
      <c r="D83" s="6" t="s">
        <v>41</v>
      </c>
      <c r="E83" s="6" t="s">
        <v>42</v>
      </c>
      <c r="F83" s="6" t="s">
        <v>42</v>
      </c>
      <c r="G83" s="6" t="s">
        <v>42</v>
      </c>
      <c r="H83" s="6" t="s">
        <v>42</v>
      </c>
      <c r="I83" s="6" t="s">
        <v>42</v>
      </c>
    </row>
    <row r="84" spans="1:9">
      <c r="A84" s="6" t="s">
        <v>216</v>
      </c>
      <c r="B84" s="6" t="s">
        <v>212</v>
      </c>
      <c r="C84" s="6" t="s">
        <v>217</v>
      </c>
      <c r="D84" s="6" t="s">
        <v>41</v>
      </c>
      <c r="E84" s="6" t="s">
        <v>42</v>
      </c>
      <c r="F84" s="6" t="s">
        <v>42</v>
      </c>
      <c r="G84" s="6" t="s">
        <v>42</v>
      </c>
      <c r="H84" s="6" t="s">
        <v>42</v>
      </c>
      <c r="I84" s="6" t="s">
        <v>42</v>
      </c>
    </row>
    <row r="85" spans="1:9">
      <c r="A85" s="6" t="s">
        <v>218</v>
      </c>
      <c r="B85" s="6" t="s">
        <v>212</v>
      </c>
      <c r="C85" s="6" t="s">
        <v>219</v>
      </c>
      <c r="D85" s="6" t="s">
        <v>41</v>
      </c>
      <c r="E85" s="6" t="s">
        <v>42</v>
      </c>
      <c r="F85" s="6" t="s">
        <v>42</v>
      </c>
      <c r="G85" s="6" t="s">
        <v>42</v>
      </c>
      <c r="H85" s="6" t="s">
        <v>42</v>
      </c>
      <c r="I85" s="6" t="s">
        <v>42</v>
      </c>
    </row>
    <row r="86" spans="1:9">
      <c r="A86" s="6" t="s">
        <v>220</v>
      </c>
      <c r="B86" s="6" t="s">
        <v>212</v>
      </c>
      <c r="C86" s="6" t="s">
        <v>221</v>
      </c>
      <c r="D86" s="6" t="s">
        <v>41</v>
      </c>
      <c r="E86" s="6" t="s">
        <v>42</v>
      </c>
      <c r="F86" s="6" t="s">
        <v>42</v>
      </c>
      <c r="G86" s="6" t="s">
        <v>42</v>
      </c>
      <c r="H86" s="6" t="s">
        <v>42</v>
      </c>
      <c r="I86" s="6" t="s">
        <v>42</v>
      </c>
    </row>
    <row r="87" spans="1:9" ht="57">
      <c r="A87" s="6" t="s">
        <v>222</v>
      </c>
      <c r="B87" s="6" t="s">
        <v>212</v>
      </c>
      <c r="C87" s="6" t="s">
        <v>223</v>
      </c>
      <c r="D87" s="6" t="s">
        <v>13</v>
      </c>
      <c r="E87" s="6" t="s">
        <v>224</v>
      </c>
      <c r="F87" s="6" t="s">
        <v>146</v>
      </c>
      <c r="G87" s="6" t="s">
        <v>42</v>
      </c>
      <c r="H87" s="6" t="s">
        <v>42</v>
      </c>
      <c r="I87" s="6" t="s">
        <v>225</v>
      </c>
    </row>
    <row r="88" spans="1:9">
      <c r="A88" s="6" t="s">
        <v>226</v>
      </c>
      <c r="B88" s="6" t="s">
        <v>227</v>
      </c>
      <c r="C88" s="6" t="s">
        <v>228</v>
      </c>
      <c r="D88" s="6" t="s">
        <v>41</v>
      </c>
      <c r="E88" s="6" t="s">
        <v>42</v>
      </c>
      <c r="F88" s="6" t="s">
        <v>42</v>
      </c>
      <c r="G88" s="6" t="s">
        <v>42</v>
      </c>
      <c r="H88" s="6" t="s">
        <v>42</v>
      </c>
      <c r="I88" s="6" t="s">
        <v>42</v>
      </c>
    </row>
    <row r="89" spans="1:9">
      <c r="A89" s="6" t="s">
        <v>229</v>
      </c>
      <c r="B89" s="6" t="s">
        <v>227</v>
      </c>
      <c r="C89" s="6" t="s">
        <v>230</v>
      </c>
      <c r="D89" s="6" t="s">
        <v>41</v>
      </c>
      <c r="E89" s="6" t="s">
        <v>42</v>
      </c>
      <c r="F89" s="6" t="s">
        <v>42</v>
      </c>
      <c r="G89" s="6" t="s">
        <v>42</v>
      </c>
      <c r="H89" s="6" t="s">
        <v>42</v>
      </c>
      <c r="I89" s="6" t="s">
        <v>42</v>
      </c>
    </row>
    <row r="90" spans="1:9">
      <c r="A90" s="6" t="s">
        <v>231</v>
      </c>
      <c r="B90" s="6" t="s">
        <v>227</v>
      </c>
      <c r="C90" s="6" t="s">
        <v>232</v>
      </c>
      <c r="D90" s="6" t="s">
        <v>41</v>
      </c>
      <c r="E90" s="6" t="s">
        <v>42</v>
      </c>
      <c r="F90" s="6" t="s">
        <v>42</v>
      </c>
      <c r="G90" s="6" t="s">
        <v>42</v>
      </c>
      <c r="H90" s="6" t="s">
        <v>42</v>
      </c>
      <c r="I90" s="6" t="s">
        <v>42</v>
      </c>
    </row>
    <row r="91" spans="1:9">
      <c r="A91" s="6" t="s">
        <v>233</v>
      </c>
      <c r="B91" s="6" t="s">
        <v>227</v>
      </c>
      <c r="C91" s="6" t="s">
        <v>234</v>
      </c>
      <c r="D91" s="6" t="s">
        <v>41</v>
      </c>
      <c r="E91" s="6" t="s">
        <v>42</v>
      </c>
      <c r="F91" s="6" t="s">
        <v>42</v>
      </c>
      <c r="G91" s="6" t="s">
        <v>42</v>
      </c>
      <c r="H91" s="6" t="s">
        <v>42</v>
      </c>
      <c r="I91" s="6" t="s">
        <v>42</v>
      </c>
    </row>
    <row r="92" spans="1:9">
      <c r="A92" s="6" t="s">
        <v>235</v>
      </c>
      <c r="B92" s="6" t="s">
        <v>227</v>
      </c>
      <c r="C92" s="6" t="s">
        <v>169</v>
      </c>
      <c r="D92" s="6" t="s">
        <v>41</v>
      </c>
      <c r="E92" s="6" t="s">
        <v>42</v>
      </c>
      <c r="F92" s="6" t="s">
        <v>42</v>
      </c>
      <c r="G92" s="6" t="s">
        <v>42</v>
      </c>
      <c r="H92" s="6" t="s">
        <v>42</v>
      </c>
      <c r="I92" s="6" t="s">
        <v>42</v>
      </c>
    </row>
    <row r="93" spans="1:9">
      <c r="A93" s="6" t="s">
        <v>236</v>
      </c>
      <c r="B93" s="6" t="s">
        <v>227</v>
      </c>
      <c r="C93" s="6" t="s">
        <v>237</v>
      </c>
      <c r="D93" s="6" t="s">
        <v>13</v>
      </c>
      <c r="E93" s="6" t="s">
        <v>145</v>
      </c>
      <c r="F93" s="6" t="s">
        <v>238</v>
      </c>
      <c r="G93" s="6" t="s">
        <v>42</v>
      </c>
      <c r="H93" s="6" t="s">
        <v>42</v>
      </c>
      <c r="I93" s="6"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
  <sheetViews>
    <sheetView workbookViewId="0">
      <selection activeCell="A2" sqref="A2:L5"/>
    </sheetView>
  </sheetViews>
  <sheetFormatPr defaultRowHeight="14.25"/>
  <cols>
    <col min="1" max="1" width="14.125" bestFit="1" customWidth="1"/>
    <col min="2" max="2" width="12.625" bestFit="1" customWidth="1"/>
    <col min="3" max="3" width="15.25" bestFit="1" customWidth="1"/>
    <col min="4" max="4" width="36.625" bestFit="1" customWidth="1"/>
    <col min="5" max="5" width="7.25" bestFit="1" customWidth="1"/>
    <col min="6" max="6" width="6.625" bestFit="1" customWidth="1"/>
    <col min="7" max="7" width="12.75" bestFit="1" customWidth="1"/>
    <col min="8" max="8" width="5.625" bestFit="1" customWidth="1"/>
    <col min="9" max="9" width="23" bestFit="1" customWidth="1"/>
    <col min="10" max="10" width="32.875" bestFit="1" customWidth="1"/>
    <col min="11" max="11" width="39.875" bestFit="1" customWidth="1"/>
    <col min="12" max="12" width="33.375" bestFit="1" customWidth="1"/>
  </cols>
  <sheetData>
    <row r="1" spans="1:12" ht="26.25">
      <c r="A1" s="17" t="s">
        <v>239</v>
      </c>
      <c r="B1" s="17"/>
      <c r="C1" s="17"/>
      <c r="D1" s="17"/>
      <c r="E1" s="17"/>
      <c r="F1" s="17"/>
      <c r="G1" s="17"/>
      <c r="H1" s="17"/>
      <c r="I1" s="17"/>
      <c r="J1" s="17"/>
      <c r="K1" s="17"/>
      <c r="L1" s="17"/>
    </row>
    <row r="2" spans="1:12" ht="31.5">
      <c r="A2" s="13" t="s">
        <v>240</v>
      </c>
      <c r="B2" s="13" t="s">
        <v>241</v>
      </c>
      <c r="C2" s="13" t="s">
        <v>242</v>
      </c>
      <c r="D2" s="13" t="s">
        <v>31</v>
      </c>
      <c r="E2" s="13" t="s">
        <v>33</v>
      </c>
      <c r="F2" s="13" t="s">
        <v>34</v>
      </c>
      <c r="G2" s="13" t="s">
        <v>243</v>
      </c>
      <c r="H2" s="13" t="s">
        <v>32</v>
      </c>
      <c r="I2" s="13" t="s">
        <v>244</v>
      </c>
      <c r="J2" s="13" t="s">
        <v>245</v>
      </c>
      <c r="K2" s="13" t="s">
        <v>246</v>
      </c>
      <c r="L2" s="13" t="s">
        <v>37</v>
      </c>
    </row>
    <row r="3" spans="1:12" ht="47.25">
      <c r="A3" s="14" t="s">
        <v>247</v>
      </c>
      <c r="B3" s="14" t="s">
        <v>143</v>
      </c>
      <c r="C3" s="14" t="s">
        <v>131</v>
      </c>
      <c r="D3" s="14" t="s">
        <v>248</v>
      </c>
      <c r="E3" s="14" t="s">
        <v>145</v>
      </c>
      <c r="F3" s="14" t="s">
        <v>146</v>
      </c>
      <c r="G3" s="14" t="s">
        <v>249</v>
      </c>
      <c r="H3" s="14" t="s">
        <v>250</v>
      </c>
      <c r="I3" s="14" t="s">
        <v>251</v>
      </c>
      <c r="J3" s="14" t="s">
        <v>252</v>
      </c>
      <c r="K3" s="14" t="s">
        <v>253</v>
      </c>
      <c r="L3" s="14" t="s">
        <v>254</v>
      </c>
    </row>
    <row r="4" spans="1:12" ht="47.25">
      <c r="A4" s="14" t="s">
        <v>255</v>
      </c>
      <c r="B4" s="14" t="s">
        <v>222</v>
      </c>
      <c r="C4" s="14" t="s">
        <v>256</v>
      </c>
      <c r="D4" s="14" t="s">
        <v>257</v>
      </c>
      <c r="E4" s="14" t="s">
        <v>145</v>
      </c>
      <c r="F4" s="14" t="s">
        <v>146</v>
      </c>
      <c r="G4" s="14" t="s">
        <v>249</v>
      </c>
      <c r="H4" s="14" t="s">
        <v>250</v>
      </c>
      <c r="I4" s="14" t="s">
        <v>251</v>
      </c>
      <c r="J4" s="14" t="s">
        <v>258</v>
      </c>
      <c r="K4" s="14" t="s">
        <v>259</v>
      </c>
      <c r="L4" s="14" t="s">
        <v>260</v>
      </c>
    </row>
    <row r="5" spans="1:12" ht="15.75">
      <c r="A5" s="25" t="s">
        <v>261</v>
      </c>
      <c r="B5" s="25"/>
      <c r="C5" s="25"/>
      <c r="D5" s="25"/>
      <c r="E5" s="25"/>
      <c r="F5" s="25"/>
      <c r="G5" s="25"/>
      <c r="H5" s="25"/>
      <c r="I5" s="25"/>
      <c r="J5" s="25"/>
      <c r="K5" s="25"/>
      <c r="L5" s="25"/>
    </row>
    <row r="6" spans="1:12" ht="30" customHeight="1">
      <c r="A6" s="1"/>
      <c r="B6" s="1"/>
      <c r="C6" s="1"/>
      <c r="D6" s="1"/>
      <c r="E6" s="1"/>
      <c r="F6" s="1"/>
      <c r="G6" s="1"/>
      <c r="H6" s="1"/>
      <c r="I6" s="1"/>
      <c r="J6" s="1"/>
      <c r="K6" s="1"/>
      <c r="L6" s="1"/>
    </row>
    <row r="7" spans="1:12" ht="30" customHeight="1">
      <c r="A7" s="1"/>
      <c r="B7" s="1"/>
      <c r="C7" s="1"/>
      <c r="D7" s="1"/>
      <c r="E7" s="1"/>
      <c r="F7" s="1"/>
      <c r="G7" s="1"/>
      <c r="H7" s="1"/>
      <c r="I7" s="1"/>
      <c r="J7" s="1"/>
      <c r="K7" s="1"/>
      <c r="L7" s="1"/>
    </row>
    <row r="8" spans="1:12" ht="30" customHeight="1">
      <c r="A8" s="1"/>
      <c r="B8" s="1"/>
      <c r="C8" s="1"/>
      <c r="D8" s="1"/>
      <c r="E8" s="1"/>
      <c r="F8" s="1"/>
      <c r="G8" s="1"/>
      <c r="H8" s="1"/>
      <c r="I8" s="1"/>
      <c r="J8" s="1"/>
      <c r="K8" s="1"/>
      <c r="L8" s="1"/>
    </row>
    <row r="9" spans="1:12" ht="30" customHeight="1"/>
    <row r="10" spans="1:12" ht="30" customHeight="1"/>
    <row r="11" spans="1:12" ht="30" customHeight="1"/>
    <row r="12" spans="1:12" ht="30" customHeight="1"/>
    <row r="13" spans="1:12" ht="30" customHeight="1"/>
    <row r="14" spans="1:12" ht="30" customHeight="1"/>
    <row r="15" spans="1:12" ht="30" customHeight="1"/>
    <row r="16" spans="1:12"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sheetData>
  <mergeCells count="2">
    <mergeCell ref="A1:L1"/>
    <mergeCell ref="A5:L5"/>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workbookViewId="0">
      <selection activeCell="A2" sqref="A2:H10"/>
    </sheetView>
  </sheetViews>
  <sheetFormatPr defaultRowHeight="14.25"/>
  <cols>
    <col min="1" max="1" width="11.25" bestFit="1" customWidth="1"/>
    <col min="2" max="2" width="14" bestFit="1" customWidth="1"/>
    <col min="3" max="3" width="6.625" bestFit="1" customWidth="1"/>
    <col min="4" max="4" width="29.75" bestFit="1" customWidth="1"/>
    <col min="5" max="5" width="16.375" bestFit="1" customWidth="1"/>
    <col min="6" max="6" width="12.75" bestFit="1" customWidth="1"/>
    <col min="7" max="7" width="11.25" bestFit="1" customWidth="1"/>
    <col min="8" max="8" width="17.5" bestFit="1" customWidth="1"/>
    <col min="9" max="12" width="30" customWidth="1"/>
  </cols>
  <sheetData>
    <row r="1" spans="1:8" ht="30" customHeight="1">
      <c r="A1" s="17" t="s">
        <v>262</v>
      </c>
      <c r="B1" s="18"/>
      <c r="C1" s="18"/>
      <c r="D1" s="18"/>
      <c r="E1" s="18"/>
      <c r="F1" s="18"/>
      <c r="G1" s="18"/>
      <c r="H1" s="18"/>
    </row>
    <row r="2" spans="1:8" ht="15.75">
      <c r="A2" s="13" t="s">
        <v>263</v>
      </c>
      <c r="B2" s="13" t="s">
        <v>264</v>
      </c>
      <c r="C2" s="13" t="s">
        <v>32</v>
      </c>
      <c r="D2" s="13" t="s">
        <v>265</v>
      </c>
      <c r="E2" s="13" t="s">
        <v>266</v>
      </c>
      <c r="F2" s="13" t="s">
        <v>267</v>
      </c>
      <c r="G2" s="13" t="s">
        <v>36</v>
      </c>
      <c r="H2" s="13" t="s">
        <v>37</v>
      </c>
    </row>
    <row r="3" spans="1:8" ht="63">
      <c r="A3" s="14" t="s">
        <v>211</v>
      </c>
      <c r="B3" s="14" t="s">
        <v>213</v>
      </c>
      <c r="C3" s="14" t="s">
        <v>10</v>
      </c>
      <c r="D3" s="14" t="s">
        <v>268</v>
      </c>
      <c r="E3" s="14" t="s">
        <v>269</v>
      </c>
      <c r="F3" s="14" t="s">
        <v>42</v>
      </c>
      <c r="G3" s="14" t="s">
        <v>42</v>
      </c>
      <c r="H3" s="14" t="s">
        <v>42</v>
      </c>
    </row>
    <row r="4" spans="1:8" ht="78.75">
      <c r="A4" s="14" t="s">
        <v>214</v>
      </c>
      <c r="B4" s="14" t="s">
        <v>215</v>
      </c>
      <c r="C4" s="14" t="s">
        <v>10</v>
      </c>
      <c r="D4" s="14" t="s">
        <v>270</v>
      </c>
      <c r="E4" s="14" t="s">
        <v>269</v>
      </c>
      <c r="F4" s="14" t="s">
        <v>42</v>
      </c>
      <c r="G4" s="14" t="s">
        <v>42</v>
      </c>
      <c r="H4" s="14" t="s">
        <v>42</v>
      </c>
    </row>
    <row r="5" spans="1:8" ht="63">
      <c r="A5" s="14" t="s">
        <v>216</v>
      </c>
      <c r="B5" s="14" t="s">
        <v>217</v>
      </c>
      <c r="C5" s="14" t="s">
        <v>10</v>
      </c>
      <c r="D5" s="14" t="s">
        <v>271</v>
      </c>
      <c r="E5" s="14" t="s">
        <v>269</v>
      </c>
      <c r="F5" s="14" t="s">
        <v>42</v>
      </c>
      <c r="G5" s="14" t="s">
        <v>42</v>
      </c>
      <c r="H5" s="14" t="s">
        <v>42</v>
      </c>
    </row>
    <row r="6" spans="1:8" ht="63">
      <c r="A6" s="14" t="s">
        <v>218</v>
      </c>
      <c r="B6" s="14" t="s">
        <v>219</v>
      </c>
      <c r="C6" s="14" t="s">
        <v>10</v>
      </c>
      <c r="D6" s="14" t="s">
        <v>272</v>
      </c>
      <c r="E6" s="14" t="s">
        <v>269</v>
      </c>
      <c r="F6" s="14" t="s">
        <v>42</v>
      </c>
      <c r="G6" s="14" t="s">
        <v>42</v>
      </c>
      <c r="H6" s="14" t="s">
        <v>42</v>
      </c>
    </row>
    <row r="7" spans="1:8" ht="31.5">
      <c r="A7" s="14" t="s">
        <v>220</v>
      </c>
      <c r="B7" s="14" t="s">
        <v>221</v>
      </c>
      <c r="C7" s="14" t="s">
        <v>10</v>
      </c>
      <c r="D7" s="14" t="s">
        <v>273</v>
      </c>
      <c r="E7" s="14" t="s">
        <v>274</v>
      </c>
      <c r="F7" s="14" t="s">
        <v>42</v>
      </c>
      <c r="G7" s="14" t="s">
        <v>42</v>
      </c>
      <c r="H7" s="14"/>
    </row>
    <row r="8" spans="1:8" ht="78.75">
      <c r="A8" s="14" t="s">
        <v>222</v>
      </c>
      <c r="B8" s="14" t="s">
        <v>223</v>
      </c>
      <c r="C8" s="14" t="s">
        <v>13</v>
      </c>
      <c r="D8" s="14" t="s">
        <v>275</v>
      </c>
      <c r="E8" s="14" t="s">
        <v>276</v>
      </c>
      <c r="F8" s="14" t="s">
        <v>255</v>
      </c>
      <c r="G8" s="14" t="s">
        <v>277</v>
      </c>
      <c r="H8" s="14" t="s">
        <v>278</v>
      </c>
    </row>
    <row r="9" spans="1:8" ht="15.75">
      <c r="A9" s="12" t="s">
        <v>279</v>
      </c>
      <c r="B9" s="12"/>
      <c r="C9" s="12"/>
      <c r="D9" s="12"/>
      <c r="E9" s="12"/>
      <c r="F9" s="12"/>
      <c r="G9" s="12"/>
      <c r="H9" s="12"/>
    </row>
    <row r="10" spans="1:8" ht="15.75">
      <c r="A10" s="19" t="s">
        <v>280</v>
      </c>
      <c r="B10" s="19"/>
      <c r="C10" s="19"/>
      <c r="D10" s="19"/>
      <c r="E10" s="19"/>
      <c r="F10" s="19"/>
      <c r="G10" s="19"/>
      <c r="H10" s="19"/>
    </row>
    <row r="11" spans="1:8" ht="30" customHeight="1">
      <c r="A11" s="14"/>
      <c r="B11" s="14"/>
      <c r="C11" s="14"/>
      <c r="D11" s="14"/>
      <c r="E11" s="14"/>
      <c r="F11" s="14"/>
      <c r="G11" s="14"/>
      <c r="H11" s="14"/>
    </row>
    <row r="12" spans="1:8" ht="30" customHeight="1">
      <c r="A12" s="14"/>
      <c r="B12" s="14"/>
      <c r="C12" s="14"/>
      <c r="D12" s="14"/>
      <c r="E12" s="14"/>
      <c r="F12" s="14"/>
      <c r="G12" s="14"/>
      <c r="H12" s="14"/>
    </row>
    <row r="13" spans="1:8" ht="30" customHeight="1"/>
    <row r="14" spans="1:8" ht="30" customHeight="1"/>
    <row r="15" spans="1:8" ht="30" customHeight="1"/>
    <row r="16" spans="1:8"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sheetData>
  <mergeCells count="3">
    <mergeCell ref="A1:H1"/>
    <mergeCell ref="A9:H9"/>
    <mergeCell ref="A10:H1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0"/>
  <sheetViews>
    <sheetView workbookViewId="0">
      <selection activeCell="A2" sqref="A2"/>
    </sheetView>
  </sheetViews>
  <sheetFormatPr defaultRowHeight="14.25"/>
  <cols>
    <col min="1" max="2" width="18" customWidth="1"/>
    <col min="3" max="5" width="30" customWidth="1"/>
    <col min="6" max="8" width="18" customWidth="1"/>
    <col min="9" max="12" width="30" customWidth="1"/>
  </cols>
  <sheetData>
    <row r="1" spans="1:8" ht="30" customHeight="1">
      <c r="A1" s="17" t="s">
        <v>281</v>
      </c>
      <c r="B1" s="18"/>
      <c r="C1" s="18"/>
      <c r="D1" s="18"/>
      <c r="E1" s="18"/>
      <c r="F1" s="18"/>
      <c r="G1" s="18"/>
      <c r="H1" s="18"/>
    </row>
    <row r="2" spans="1:8" ht="30" customHeight="1">
      <c r="A2" s="13" t="s">
        <v>263</v>
      </c>
      <c r="B2" s="13" t="s">
        <v>30</v>
      </c>
      <c r="C2" s="13" t="s">
        <v>32</v>
      </c>
      <c r="D2" s="13" t="s">
        <v>282</v>
      </c>
      <c r="E2" s="13" t="s">
        <v>283</v>
      </c>
      <c r="F2" s="13" t="s">
        <v>36</v>
      </c>
      <c r="G2" s="13" t="s">
        <v>37</v>
      </c>
      <c r="H2" s="13" t="s">
        <v>284</v>
      </c>
    </row>
    <row r="3" spans="1:8" ht="78.75">
      <c r="A3" s="14" t="s">
        <v>226</v>
      </c>
      <c r="B3" s="14" t="s">
        <v>228</v>
      </c>
      <c r="C3" s="14" t="s">
        <v>10</v>
      </c>
      <c r="D3" s="14" t="s">
        <v>285</v>
      </c>
      <c r="E3" s="23" t="s">
        <v>42</v>
      </c>
      <c r="F3" s="23" t="s">
        <v>42</v>
      </c>
      <c r="G3" s="14" t="s">
        <v>286</v>
      </c>
      <c r="H3" s="14" t="s">
        <v>287</v>
      </c>
    </row>
    <row r="4" spans="1:8" ht="63">
      <c r="A4" s="14" t="s">
        <v>229</v>
      </c>
      <c r="B4" s="14" t="s">
        <v>230</v>
      </c>
      <c r="C4" s="14" t="s">
        <v>10</v>
      </c>
      <c r="D4" s="14" t="s">
        <v>288</v>
      </c>
      <c r="E4" s="23" t="s">
        <v>42</v>
      </c>
      <c r="F4" s="23" t="s">
        <v>42</v>
      </c>
      <c r="G4" s="14" t="s">
        <v>289</v>
      </c>
      <c r="H4" s="14" t="s">
        <v>290</v>
      </c>
    </row>
    <row r="5" spans="1:8" ht="63">
      <c r="A5" s="14" t="s">
        <v>231</v>
      </c>
      <c r="B5" s="14" t="s">
        <v>232</v>
      </c>
      <c r="C5" s="14" t="s">
        <v>10</v>
      </c>
      <c r="D5" s="14" t="s">
        <v>291</v>
      </c>
      <c r="E5" s="23" t="s">
        <v>42</v>
      </c>
      <c r="F5" s="23" t="s">
        <v>42</v>
      </c>
      <c r="G5" s="14" t="s">
        <v>292</v>
      </c>
      <c r="H5" s="14" t="s">
        <v>293</v>
      </c>
    </row>
    <row r="6" spans="1:8" ht="63">
      <c r="A6" s="14" t="s">
        <v>233</v>
      </c>
      <c r="B6" s="14" t="s">
        <v>294</v>
      </c>
      <c r="C6" s="14" t="s">
        <v>10</v>
      </c>
      <c r="D6" s="14" t="s">
        <v>295</v>
      </c>
      <c r="E6" s="23" t="s">
        <v>42</v>
      </c>
      <c r="F6" s="23" t="s">
        <v>42</v>
      </c>
      <c r="G6" s="14" t="s">
        <v>296</v>
      </c>
      <c r="H6" s="14" t="s">
        <v>297</v>
      </c>
    </row>
    <row r="7" spans="1:8" ht="63">
      <c r="A7" s="14" t="s">
        <v>235</v>
      </c>
      <c r="B7" s="14" t="s">
        <v>169</v>
      </c>
      <c r="C7" s="14" t="s">
        <v>10</v>
      </c>
      <c r="D7" s="14" t="s">
        <v>298</v>
      </c>
      <c r="E7" s="23" t="s">
        <v>42</v>
      </c>
      <c r="F7" s="23" t="s">
        <v>42</v>
      </c>
      <c r="G7" s="14" t="s">
        <v>299</v>
      </c>
      <c r="H7" s="14" t="s">
        <v>300</v>
      </c>
    </row>
    <row r="8" spans="1:8" ht="78.75">
      <c r="A8" s="14" t="s">
        <v>236</v>
      </c>
      <c r="B8" s="14" t="s">
        <v>301</v>
      </c>
      <c r="C8" s="14" t="s">
        <v>19</v>
      </c>
      <c r="D8" s="14" t="s">
        <v>302</v>
      </c>
      <c r="E8" s="23" t="s">
        <v>42</v>
      </c>
      <c r="F8" s="23" t="s">
        <v>42</v>
      </c>
      <c r="G8" s="14" t="s">
        <v>303</v>
      </c>
      <c r="H8" s="14" t="s">
        <v>304</v>
      </c>
    </row>
    <row r="9" spans="1:8" ht="30" customHeight="1">
      <c r="A9" s="24" t="s">
        <v>305</v>
      </c>
      <c r="B9" s="24"/>
      <c r="C9" s="24"/>
      <c r="D9" s="24"/>
      <c r="E9" s="24"/>
      <c r="F9" s="24"/>
      <c r="G9" s="24"/>
      <c r="H9" s="24"/>
    </row>
    <row r="10" spans="1:8" ht="30" customHeight="1">
      <c r="A10" s="15" t="s">
        <v>306</v>
      </c>
      <c r="B10" s="15"/>
      <c r="C10" s="15"/>
      <c r="D10" s="15"/>
      <c r="E10" s="15"/>
      <c r="F10" s="15"/>
      <c r="G10" s="15"/>
      <c r="H10" s="15"/>
    </row>
    <row r="11" spans="1:8" ht="30" customHeight="1">
      <c r="A11" s="15"/>
      <c r="B11" s="15"/>
      <c r="C11" s="15"/>
      <c r="D11" s="15"/>
      <c r="E11" s="15"/>
      <c r="F11" s="15"/>
      <c r="G11" s="15"/>
      <c r="H11" s="15"/>
    </row>
    <row r="12" spans="1:8" ht="30" customHeight="1">
      <c r="A12" s="15"/>
      <c r="B12" s="15"/>
      <c r="C12" s="15"/>
      <c r="D12" s="15"/>
      <c r="E12" s="15"/>
      <c r="F12" s="15"/>
      <c r="G12" s="15"/>
      <c r="H12" s="15"/>
    </row>
    <row r="13" spans="1:8" ht="30" customHeight="1"/>
    <row r="14" spans="1:8" ht="30" customHeight="1"/>
    <row r="15" spans="1:8" ht="30" customHeight="1"/>
    <row r="16" spans="1:8"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sheetData>
  <mergeCells count="2">
    <mergeCell ref="A1:H1"/>
    <mergeCell ref="A10:H1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0"/>
  <sheetViews>
    <sheetView workbookViewId="0">
      <selection activeCell="A2" sqref="A2:G5"/>
    </sheetView>
  </sheetViews>
  <sheetFormatPr defaultRowHeight="14.25"/>
  <cols>
    <col min="1" max="1" width="11.375" bestFit="1" customWidth="1"/>
    <col min="2" max="2" width="14.125" bestFit="1" customWidth="1"/>
    <col min="3" max="3" width="20.375" bestFit="1" customWidth="1"/>
    <col min="4" max="4" width="9.875" bestFit="1" customWidth="1"/>
    <col min="5" max="5" width="30" customWidth="1"/>
    <col min="6" max="6" width="17.5" bestFit="1" customWidth="1"/>
    <col min="7" max="7" width="17.875" bestFit="1" customWidth="1"/>
    <col min="8" max="8" width="18" customWidth="1"/>
    <col min="9" max="12" width="30" customWidth="1"/>
  </cols>
  <sheetData>
    <row r="1" spans="1:7" ht="30" customHeight="1">
      <c r="A1" s="20" t="s">
        <v>307</v>
      </c>
      <c r="B1" s="21"/>
      <c r="C1" s="21"/>
      <c r="D1" s="21"/>
      <c r="E1" s="21"/>
      <c r="F1" s="21"/>
      <c r="G1" s="21"/>
    </row>
    <row r="2" spans="1:7" ht="31.5">
      <c r="A2" s="13" t="s">
        <v>308</v>
      </c>
      <c r="B2" s="13" t="s">
        <v>267</v>
      </c>
      <c r="C2" s="13" t="s">
        <v>309</v>
      </c>
      <c r="D2" s="13" t="s">
        <v>32</v>
      </c>
      <c r="E2" s="13" t="s">
        <v>310</v>
      </c>
      <c r="F2" s="13" t="s">
        <v>311</v>
      </c>
      <c r="G2" s="13" t="s">
        <v>37</v>
      </c>
    </row>
    <row r="3" spans="1:7" ht="60">
      <c r="A3" s="26" t="s">
        <v>312</v>
      </c>
      <c r="B3" s="26" t="s">
        <v>247</v>
      </c>
      <c r="C3" s="26" t="s">
        <v>313</v>
      </c>
      <c r="D3" s="26" t="s">
        <v>361</v>
      </c>
      <c r="E3" s="26" t="s">
        <v>314</v>
      </c>
      <c r="F3" s="26" t="s">
        <v>315</v>
      </c>
      <c r="G3" s="26" t="s">
        <v>316</v>
      </c>
    </row>
    <row r="4" spans="1:7" ht="45">
      <c r="A4" s="26" t="s">
        <v>317</v>
      </c>
      <c r="B4" s="26" t="s">
        <v>255</v>
      </c>
      <c r="C4" s="26" t="s">
        <v>318</v>
      </c>
      <c r="D4" s="26" t="s">
        <v>361</v>
      </c>
      <c r="E4" s="26" t="s">
        <v>319</v>
      </c>
      <c r="F4" s="26" t="s">
        <v>320</v>
      </c>
      <c r="G4" s="26" t="s">
        <v>316</v>
      </c>
    </row>
    <row r="5" spans="1:7" ht="15">
      <c r="A5" s="27" t="s">
        <v>362</v>
      </c>
      <c r="B5" s="27"/>
      <c r="C5" s="27"/>
      <c r="D5" s="27"/>
      <c r="E5" s="27"/>
      <c r="F5" s="27"/>
      <c r="G5" s="27"/>
    </row>
    <row r="6" spans="1:7" ht="30" customHeight="1"/>
    <row r="7" spans="1:7" ht="30" customHeight="1"/>
    <row r="8" spans="1:7" ht="30" customHeight="1"/>
    <row r="9" spans="1:7" ht="30" customHeight="1"/>
    <row r="10" spans="1:7" ht="30" customHeight="1"/>
    <row r="11" spans="1:7" ht="30" customHeight="1"/>
    <row r="12" spans="1:7" ht="30" customHeight="1"/>
    <row r="13" spans="1:7" ht="30" customHeight="1"/>
    <row r="14" spans="1:7" ht="30" customHeight="1"/>
    <row r="15" spans="1:7" ht="30" customHeight="1"/>
    <row r="16" spans="1:7" ht="30" customHeight="1"/>
    <row r="17" ht="30" customHeight="1"/>
    <row r="18" ht="30" customHeight="1"/>
    <row r="19" ht="30" customHeight="1"/>
    <row r="20" ht="30" customHeight="1"/>
    <row r="21" ht="30" customHeight="1"/>
    <row r="22" ht="30" customHeight="1"/>
    <row r="23" ht="30" customHeight="1"/>
    <row r="24" ht="30" customHeight="1"/>
    <row r="25" ht="30" customHeight="1"/>
    <row r="26" ht="30" customHeight="1"/>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sheetData>
  <mergeCells count="2">
    <mergeCell ref="A1:G1"/>
    <mergeCell ref="A5:G5"/>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workbookViewId="0">
      <selection activeCell="A2" sqref="A2:E9"/>
    </sheetView>
  </sheetViews>
  <sheetFormatPr defaultRowHeight="14.25"/>
  <cols>
    <col min="1" max="1" width="11.25" bestFit="1" customWidth="1"/>
    <col min="2" max="2" width="10.625" bestFit="1" customWidth="1"/>
    <col min="3" max="3" width="7.375" bestFit="1" customWidth="1"/>
    <col min="4" max="4" width="6.25" bestFit="1" customWidth="1"/>
    <col min="5" max="5" width="34.125" bestFit="1" customWidth="1"/>
  </cols>
  <sheetData>
    <row r="1" spans="1:5" ht="26.1" customHeight="1">
      <c r="A1" s="17" t="s">
        <v>321</v>
      </c>
      <c r="B1" s="18"/>
      <c r="C1" s="18"/>
      <c r="D1" s="18"/>
      <c r="E1" s="18"/>
    </row>
    <row r="2" spans="1:5" ht="15.75">
      <c r="A2" s="13" t="s">
        <v>322</v>
      </c>
      <c r="B2" s="13" t="s">
        <v>323</v>
      </c>
      <c r="C2" s="13" t="s">
        <v>10</v>
      </c>
      <c r="D2" s="13" t="s">
        <v>13</v>
      </c>
      <c r="E2" s="13" t="s">
        <v>4</v>
      </c>
    </row>
    <row r="3" spans="1:5" ht="15">
      <c r="A3" s="28" t="s">
        <v>324</v>
      </c>
      <c r="B3" s="28">
        <v>12</v>
      </c>
      <c r="C3" s="28">
        <v>12</v>
      </c>
      <c r="D3" s="28">
        <v>0</v>
      </c>
      <c r="E3" s="28" t="s">
        <v>10</v>
      </c>
    </row>
    <row r="4" spans="1:5" ht="15">
      <c r="A4" s="28" t="s">
        <v>325</v>
      </c>
      <c r="B4" s="28">
        <v>12</v>
      </c>
      <c r="C4" s="28">
        <v>12</v>
      </c>
      <c r="D4" s="28">
        <v>0</v>
      </c>
      <c r="E4" s="28" t="s">
        <v>10</v>
      </c>
    </row>
    <row r="5" spans="1:5" ht="15">
      <c r="A5" s="28" t="s">
        <v>326</v>
      </c>
      <c r="B5" s="28">
        <v>9</v>
      </c>
      <c r="C5" s="28">
        <v>9</v>
      </c>
      <c r="D5" s="28">
        <v>0</v>
      </c>
      <c r="E5" s="28" t="s">
        <v>10</v>
      </c>
    </row>
    <row r="6" spans="1:5" ht="15">
      <c r="A6" s="28" t="s">
        <v>101</v>
      </c>
      <c r="B6" s="28">
        <v>9</v>
      </c>
      <c r="C6" s="28">
        <v>9</v>
      </c>
      <c r="D6" s="28">
        <v>0</v>
      </c>
      <c r="E6" s="28" t="s">
        <v>10</v>
      </c>
    </row>
    <row r="7" spans="1:5" ht="30">
      <c r="A7" s="28" t="s">
        <v>327</v>
      </c>
      <c r="B7" s="28">
        <v>14</v>
      </c>
      <c r="C7" s="28">
        <v>13</v>
      </c>
      <c r="D7" s="28">
        <v>1</v>
      </c>
      <c r="E7" s="28" t="s">
        <v>13</v>
      </c>
    </row>
    <row r="8" spans="1:5" ht="15">
      <c r="A8" s="28" t="s">
        <v>328</v>
      </c>
      <c r="B8" s="28">
        <v>13</v>
      </c>
      <c r="C8" s="28">
        <v>13</v>
      </c>
      <c r="D8" s="28">
        <v>0</v>
      </c>
      <c r="E8" s="28" t="s">
        <v>10</v>
      </c>
    </row>
    <row r="9" spans="1:5" ht="15.75">
      <c r="A9" s="29" t="s">
        <v>329</v>
      </c>
      <c r="B9" s="29">
        <v>69</v>
      </c>
      <c r="C9" s="29">
        <v>68</v>
      </c>
      <c r="D9" s="29">
        <v>1</v>
      </c>
      <c r="E9" s="29" t="s">
        <v>363</v>
      </c>
    </row>
  </sheetData>
  <mergeCells count="1">
    <mergeCell ref="A1:E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
  <sheetViews>
    <sheetView workbookViewId="0">
      <selection activeCell="F23" sqref="F23"/>
    </sheetView>
  </sheetViews>
  <sheetFormatPr defaultRowHeight="14.25"/>
  <cols>
    <col min="1" max="1" width="8.75" customWidth="1"/>
    <col min="2" max="2" width="6.75" customWidth="1"/>
    <col min="3" max="3" width="8.25" customWidth="1"/>
    <col min="4" max="4" width="7.5" customWidth="1"/>
    <col min="5" max="5" width="10.25" customWidth="1"/>
  </cols>
  <sheetData>
    <row r="1" spans="1:5" ht="15.75">
      <c r="A1" s="13" t="s">
        <v>30</v>
      </c>
      <c r="B1" s="13" t="s">
        <v>330</v>
      </c>
      <c r="C1" s="13" t="s">
        <v>10</v>
      </c>
      <c r="D1" s="13" t="s">
        <v>13</v>
      </c>
      <c r="E1" s="13" t="s">
        <v>331</v>
      </c>
    </row>
    <row r="2" spans="1:5" ht="15.75">
      <c r="A2" s="30" t="s">
        <v>101</v>
      </c>
      <c r="B2" s="30">
        <f>COUNTIF('Execution Data'!$B$2:$B$93,A2)</f>
        <v>8</v>
      </c>
      <c r="C2" s="30">
        <f>COUNTIFS('Execution Data'!$B$2:$B$93,A2,'Execution Data'!$D$2:$D$93,"Pass")</f>
        <v>8</v>
      </c>
      <c r="D2" s="30">
        <f>COUNTIFS('Execution Data'!$B$2:$B$93,A2,'Execution Data'!$D$2:$D$93,"Failed")</f>
        <v>0</v>
      </c>
      <c r="E2" s="31">
        <f t="shared" ref="E2:E13" si="0">IF(B2=0,0,C2/B2)</f>
        <v>1</v>
      </c>
    </row>
    <row r="3" spans="1:5" ht="15.75">
      <c r="A3" s="30" t="s">
        <v>151</v>
      </c>
      <c r="B3" s="30">
        <f>COUNTIF('Execution Data'!$B$2:$B$93,A3)</f>
        <v>7</v>
      </c>
      <c r="C3" s="30">
        <f>COUNTIFS('Execution Data'!$B$2:$B$93,A3,'Execution Data'!$D$2:$D$93,"Pass")</f>
        <v>7</v>
      </c>
      <c r="D3" s="30">
        <f>COUNTIFS('Execution Data'!$B$2:$B$93,A3,'Execution Data'!$D$2:$D$93,"Failed")</f>
        <v>0</v>
      </c>
      <c r="E3" s="31">
        <f t="shared" si="0"/>
        <v>1</v>
      </c>
    </row>
    <row r="4" spans="1:5" ht="15.75">
      <c r="A4" s="30" t="s">
        <v>227</v>
      </c>
      <c r="B4" s="30">
        <f>COUNTIF('Execution Data'!$B$2:$B$93,A4)</f>
        <v>6</v>
      </c>
      <c r="C4" s="30">
        <f>COUNTIFS('Execution Data'!$B$2:$B$93,A4,'Execution Data'!$D$2:$D$93,"Pass")</f>
        <v>5</v>
      </c>
      <c r="D4" s="30">
        <f>COUNTIFS('Execution Data'!$B$2:$B$93,A4,'Execution Data'!$D$2:$D$93,"Failed")</f>
        <v>1</v>
      </c>
      <c r="E4" s="31">
        <f t="shared" si="0"/>
        <v>0.83333333333333337</v>
      </c>
    </row>
    <row r="5" spans="1:5" ht="15.75">
      <c r="A5" s="30" t="s">
        <v>66</v>
      </c>
      <c r="B5" s="30">
        <f>COUNTIF('Execution Data'!$B$2:$B$93,A5)</f>
        <v>9</v>
      </c>
      <c r="C5" s="30">
        <f>COUNTIFS('Execution Data'!$B$2:$B$93,A5,'Execution Data'!$D$2:$D$93,"Pass")</f>
        <v>9</v>
      </c>
      <c r="D5" s="30">
        <f>COUNTIFS('Execution Data'!$B$2:$B$93,A5,'Execution Data'!$D$2:$D$93,"Failed")</f>
        <v>0</v>
      </c>
      <c r="E5" s="31">
        <f t="shared" si="0"/>
        <v>1</v>
      </c>
    </row>
    <row r="6" spans="1:5" ht="15.75">
      <c r="A6" s="30" t="s">
        <v>166</v>
      </c>
      <c r="B6" s="30">
        <f>COUNTIF('Execution Data'!$B$2:$B$93,A6)</f>
        <v>8</v>
      </c>
      <c r="C6" s="30">
        <f>COUNTIFS('Execution Data'!$B$2:$B$93,A6,'Execution Data'!$D$2:$D$93,"Pass")</f>
        <v>8</v>
      </c>
      <c r="D6" s="30">
        <f>COUNTIFS('Execution Data'!$B$2:$B$93,A6,'Execution Data'!$D$2:$D$93,"Failed")</f>
        <v>0</v>
      </c>
      <c r="E6" s="31">
        <f t="shared" si="0"/>
        <v>1</v>
      </c>
    </row>
    <row r="7" spans="1:5" ht="15.75">
      <c r="A7" s="30" t="s">
        <v>199</v>
      </c>
      <c r="B7" s="30">
        <f>COUNTIF('Execution Data'!$B$2:$B$93,A7)</f>
        <v>6</v>
      </c>
      <c r="C7" s="30">
        <f>COUNTIFS('Execution Data'!$B$2:$B$93,A7,'Execution Data'!$D$2:$D$93,"Pass")</f>
        <v>5</v>
      </c>
      <c r="D7" s="30">
        <f>COUNTIFS('Execution Data'!$B$2:$B$93,A7,'Execution Data'!$D$2:$D$93,"Failed")</f>
        <v>1</v>
      </c>
      <c r="E7" s="31">
        <f t="shared" si="0"/>
        <v>0.83333333333333337</v>
      </c>
    </row>
    <row r="8" spans="1:5" ht="15.75">
      <c r="A8" s="30" t="s">
        <v>212</v>
      </c>
      <c r="B8" s="30">
        <f>COUNTIF('Execution Data'!$B$2:$B$93,A8)</f>
        <v>6</v>
      </c>
      <c r="C8" s="30">
        <f>COUNTIFS('Execution Data'!$B$2:$B$93,A8,'Execution Data'!$D$2:$D$93,"Pass")</f>
        <v>5</v>
      </c>
      <c r="D8" s="30">
        <f>COUNTIFS('Execution Data'!$B$2:$B$93,A8,'Execution Data'!$D$2:$D$93,"Failed")</f>
        <v>1</v>
      </c>
      <c r="E8" s="31">
        <f t="shared" si="0"/>
        <v>0.83333333333333337</v>
      </c>
    </row>
    <row r="9" spans="1:5" ht="15.75">
      <c r="A9" s="30" t="s">
        <v>118</v>
      </c>
      <c r="B9" s="30">
        <f>COUNTIF('Execution Data'!$B$2:$B$93,A9)</f>
        <v>6</v>
      </c>
      <c r="C9" s="30">
        <f>COUNTIFS('Execution Data'!$B$2:$B$93,A9,'Execution Data'!$D$2:$D$93,"Pass")</f>
        <v>6</v>
      </c>
      <c r="D9" s="30">
        <f>COUNTIFS('Execution Data'!$B$2:$B$93,A9,'Execution Data'!$D$2:$D$93,"Failed")</f>
        <v>0</v>
      </c>
      <c r="E9" s="31">
        <f t="shared" si="0"/>
        <v>1</v>
      </c>
    </row>
    <row r="10" spans="1:5" ht="15.75">
      <c r="A10" s="30" t="s">
        <v>183</v>
      </c>
      <c r="B10" s="30">
        <f>COUNTIF('Execution Data'!$B$2:$B$93,A10)</f>
        <v>8</v>
      </c>
      <c r="C10" s="30">
        <f>COUNTIFS('Execution Data'!$B$2:$B$93,A10,'Execution Data'!$D$2:$D$93,"Pass")</f>
        <v>8</v>
      </c>
      <c r="D10" s="30">
        <f>COUNTIFS('Execution Data'!$B$2:$B$93,A10,'Execution Data'!$D$2:$D$93,"Failed")</f>
        <v>0</v>
      </c>
      <c r="E10" s="31">
        <f t="shared" si="0"/>
        <v>1</v>
      </c>
    </row>
    <row r="11" spans="1:5" ht="15.75">
      <c r="A11" s="30" t="s">
        <v>39</v>
      </c>
      <c r="B11" s="30">
        <f>COUNTIF('Execution Data'!$B$2:$B$93,A11)</f>
        <v>12</v>
      </c>
      <c r="C11" s="30">
        <f>COUNTIFS('Execution Data'!$B$2:$B$93,A11,'Execution Data'!$D$2:$D$93,"Pass")</f>
        <v>12</v>
      </c>
      <c r="D11" s="30">
        <f>COUNTIFS('Execution Data'!$B$2:$B$93,A11,'Execution Data'!$D$2:$D$93,"Failed")</f>
        <v>0</v>
      </c>
      <c r="E11" s="31">
        <f t="shared" si="0"/>
        <v>1</v>
      </c>
    </row>
    <row r="12" spans="1:5" ht="15.75">
      <c r="A12" s="30" t="s">
        <v>131</v>
      </c>
      <c r="B12" s="30">
        <f>COUNTIF('Execution Data'!$B$2:$B$93,A12)</f>
        <v>8</v>
      </c>
      <c r="C12" s="30">
        <f>COUNTIFS('Execution Data'!$B$2:$B$93,A12,'Execution Data'!$D$2:$D$93,"Pass")</f>
        <v>7</v>
      </c>
      <c r="D12" s="30">
        <f>COUNTIFS('Execution Data'!$B$2:$B$93,A12,'Execution Data'!$D$2:$D$93,"Failed")</f>
        <v>1</v>
      </c>
      <c r="E12" s="31">
        <f t="shared" si="0"/>
        <v>0.875</v>
      </c>
    </row>
    <row r="13" spans="1:5" ht="15.75">
      <c r="A13" s="30" t="s">
        <v>84</v>
      </c>
      <c r="B13" s="30">
        <f>COUNTIF('Execution Data'!$B$2:$B$93,A13)</f>
        <v>8</v>
      </c>
      <c r="C13" s="30">
        <f>COUNTIFS('Execution Data'!$B$2:$B$93,A13,'Execution Data'!$D$2:$D$93,"Pass")</f>
        <v>8</v>
      </c>
      <c r="D13" s="30">
        <f>COUNTIFS('Execution Data'!$B$2:$B$93,A13,'Execution Data'!$D$2:$D$93,"Failed")</f>
        <v>0</v>
      </c>
      <c r="E13" s="31">
        <f t="shared" si="0"/>
        <v>1</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3"/>
  <sheetViews>
    <sheetView tabSelected="1" workbookViewId="0">
      <selection sqref="A1:H33"/>
    </sheetView>
  </sheetViews>
  <sheetFormatPr defaultRowHeight="14.25"/>
  <cols>
    <col min="1" max="1" width="40.375" customWidth="1"/>
    <col min="2" max="2" width="27.125" customWidth="1"/>
    <col min="4" max="4" width="14.375" customWidth="1"/>
    <col min="5" max="5" width="89.125" customWidth="1"/>
  </cols>
  <sheetData>
    <row r="1" spans="1:8" ht="26.1" customHeight="1">
      <c r="A1" s="17" t="s">
        <v>332</v>
      </c>
      <c r="B1" s="18"/>
      <c r="C1" s="18"/>
      <c r="D1" s="18"/>
      <c r="E1" s="18"/>
      <c r="F1" s="18"/>
      <c r="G1" s="18"/>
      <c r="H1" s="18"/>
    </row>
    <row r="2" spans="1:8" ht="15">
      <c r="A2" s="22"/>
      <c r="B2" s="22"/>
      <c r="C2" s="22"/>
      <c r="D2" s="22"/>
      <c r="E2" s="22"/>
      <c r="F2" s="22"/>
      <c r="G2" s="22"/>
      <c r="H2" s="22"/>
    </row>
    <row r="3" spans="1:8" ht="15.75">
      <c r="A3" s="13" t="s">
        <v>333</v>
      </c>
      <c r="B3" s="13" t="s">
        <v>334</v>
      </c>
      <c r="C3" s="30"/>
      <c r="D3" s="12" t="s">
        <v>335</v>
      </c>
      <c r="E3" s="12"/>
      <c r="F3" s="12"/>
      <c r="G3" s="12"/>
      <c r="H3" s="12"/>
    </row>
    <row r="4" spans="1:8" ht="15.75">
      <c r="A4" s="32" t="s">
        <v>336</v>
      </c>
      <c r="B4" s="32" t="s">
        <v>337</v>
      </c>
      <c r="C4" s="30"/>
      <c r="D4" s="33" t="s">
        <v>338</v>
      </c>
      <c r="E4" s="34" t="s">
        <v>339</v>
      </c>
      <c r="F4" s="34"/>
      <c r="G4" s="34"/>
      <c r="H4" s="34"/>
    </row>
    <row r="5" spans="1:8" ht="15.75">
      <c r="A5" s="32" t="s">
        <v>340</v>
      </c>
      <c r="B5" s="32" t="s">
        <v>341</v>
      </c>
      <c r="C5" s="30"/>
      <c r="D5" s="33" t="s">
        <v>342</v>
      </c>
      <c r="E5" s="35" t="s">
        <v>348</v>
      </c>
      <c r="F5" s="35"/>
      <c r="G5" s="35"/>
      <c r="H5" s="35"/>
    </row>
    <row r="6" spans="1:8" ht="15.75">
      <c r="A6" s="32" t="s">
        <v>343</v>
      </c>
      <c r="B6" s="32" t="s">
        <v>344</v>
      </c>
      <c r="C6" s="30"/>
      <c r="D6" s="33" t="s">
        <v>345</v>
      </c>
      <c r="E6" s="35" t="s">
        <v>351</v>
      </c>
      <c r="F6" s="35"/>
      <c r="G6" s="35"/>
      <c r="H6" s="35"/>
    </row>
    <row r="7" spans="1:8" ht="15.75">
      <c r="A7" s="32" t="s">
        <v>346</v>
      </c>
      <c r="B7" s="32" t="s">
        <v>347</v>
      </c>
      <c r="C7" s="30"/>
      <c r="D7" s="36"/>
      <c r="E7" s="36"/>
      <c r="F7" s="36"/>
      <c r="G7" s="36"/>
      <c r="H7" s="36"/>
    </row>
    <row r="8" spans="1:8" ht="15.75">
      <c r="A8" s="32" t="s">
        <v>349</v>
      </c>
      <c r="B8" s="32" t="s">
        <v>350</v>
      </c>
      <c r="C8" s="30"/>
      <c r="D8" s="32"/>
      <c r="E8" s="30"/>
      <c r="F8" s="30"/>
      <c r="G8" s="30"/>
      <c r="H8" s="30"/>
    </row>
    <row r="9" spans="1:8" ht="15.75">
      <c r="A9" s="32" t="s">
        <v>352</v>
      </c>
      <c r="B9" s="32" t="s">
        <v>353</v>
      </c>
      <c r="C9" s="30"/>
      <c r="D9" s="30"/>
      <c r="E9" s="30"/>
      <c r="F9" s="30"/>
      <c r="G9" s="30"/>
      <c r="H9" s="30"/>
    </row>
    <row r="10" spans="1:8" ht="15.75">
      <c r="A10" s="32" t="s">
        <v>232</v>
      </c>
      <c r="B10" s="32" t="s">
        <v>354</v>
      </c>
      <c r="C10" s="30"/>
      <c r="D10" s="30"/>
      <c r="E10" s="30"/>
      <c r="F10" s="30"/>
      <c r="G10" s="30"/>
      <c r="H10" s="30"/>
    </row>
    <row r="11" spans="1:8" ht="15.75">
      <c r="A11" s="32" t="s">
        <v>355</v>
      </c>
      <c r="B11" s="32" t="s">
        <v>356</v>
      </c>
      <c r="C11" s="30"/>
      <c r="D11" s="30"/>
      <c r="E11" s="30"/>
      <c r="F11" s="30"/>
      <c r="G11" s="30"/>
      <c r="H11" s="30"/>
    </row>
    <row r="12" spans="1:8" ht="15.75">
      <c r="A12" s="32" t="s">
        <v>17</v>
      </c>
      <c r="B12" s="32" t="s">
        <v>18</v>
      </c>
      <c r="C12" s="30"/>
      <c r="D12" s="30"/>
      <c r="E12" s="30"/>
      <c r="F12" s="30"/>
      <c r="G12" s="30"/>
      <c r="H12" s="30"/>
    </row>
    <row r="13" spans="1:8" ht="15.75">
      <c r="A13" s="32" t="s">
        <v>357</v>
      </c>
      <c r="B13" s="32" t="s">
        <v>358</v>
      </c>
      <c r="C13" s="30"/>
      <c r="D13" s="30"/>
      <c r="E13" s="30"/>
      <c r="F13" s="30"/>
      <c r="G13" s="30"/>
      <c r="H13" s="30"/>
    </row>
    <row r="14" spans="1:8" ht="15.75">
      <c r="A14" s="32" t="s">
        <v>359</v>
      </c>
      <c r="B14" s="32" t="s">
        <v>15</v>
      </c>
      <c r="C14" s="30"/>
      <c r="D14" s="30"/>
      <c r="E14" s="30"/>
      <c r="F14" s="30"/>
      <c r="G14" s="30"/>
      <c r="H14" s="30"/>
    </row>
    <row r="15" spans="1:8" ht="15.75">
      <c r="A15" s="32" t="s">
        <v>11</v>
      </c>
      <c r="B15" s="32" t="s">
        <v>12</v>
      </c>
      <c r="C15" s="30"/>
      <c r="D15" s="30"/>
      <c r="E15" s="30"/>
      <c r="F15" s="30"/>
      <c r="G15" s="30"/>
      <c r="H15" s="30"/>
    </row>
    <row r="16" spans="1:8" ht="15.75">
      <c r="A16" s="32" t="s">
        <v>230</v>
      </c>
      <c r="B16" s="32" t="s">
        <v>167</v>
      </c>
      <c r="C16" s="30"/>
      <c r="D16" s="30"/>
      <c r="E16" s="30"/>
      <c r="F16" s="30"/>
      <c r="G16" s="30"/>
      <c r="H16" s="30"/>
    </row>
    <row r="17" spans="1:8" ht="15.75">
      <c r="A17" s="32" t="s">
        <v>23</v>
      </c>
      <c r="B17" s="32" t="s">
        <v>24</v>
      </c>
      <c r="C17" s="30"/>
      <c r="D17" s="30"/>
      <c r="E17" s="30"/>
      <c r="F17" s="30"/>
      <c r="G17" s="30"/>
      <c r="H17" s="30"/>
    </row>
    <row r="18" spans="1:8" ht="15.75">
      <c r="A18" s="32" t="s">
        <v>360</v>
      </c>
      <c r="B18" s="32" t="s">
        <v>269</v>
      </c>
      <c r="C18" s="30"/>
      <c r="D18" s="30"/>
      <c r="E18" s="30"/>
      <c r="F18" s="30"/>
      <c r="G18" s="30"/>
      <c r="H18" s="30"/>
    </row>
    <row r="19" spans="1:8" ht="15.75">
      <c r="A19" s="30"/>
      <c r="B19" s="30"/>
      <c r="C19" s="30"/>
      <c r="D19" s="30"/>
      <c r="E19" s="30"/>
      <c r="F19" s="30"/>
      <c r="G19" s="30"/>
      <c r="H19" s="30"/>
    </row>
    <row r="20" spans="1:8" ht="15">
      <c r="A20" s="22"/>
      <c r="B20" s="22"/>
      <c r="C20" s="22"/>
      <c r="D20" s="22"/>
      <c r="E20" s="22"/>
      <c r="F20" s="22"/>
      <c r="G20" s="22"/>
      <c r="H20" s="22"/>
    </row>
    <row r="21" spans="1:8" ht="15">
      <c r="A21" s="22"/>
      <c r="B21" s="22"/>
      <c r="C21" s="22"/>
      <c r="D21" s="22"/>
      <c r="E21" s="22"/>
      <c r="F21" s="22"/>
      <c r="G21" s="22"/>
      <c r="H21" s="22"/>
    </row>
    <row r="22" spans="1:8" ht="15">
      <c r="A22" s="22"/>
      <c r="B22" s="22"/>
      <c r="C22" s="22"/>
      <c r="D22" s="22"/>
      <c r="E22" s="22"/>
      <c r="F22" s="22"/>
      <c r="G22" s="22"/>
      <c r="H22" s="22"/>
    </row>
    <row r="23" spans="1:8" ht="15">
      <c r="A23" s="22"/>
      <c r="B23" s="22"/>
      <c r="C23" s="22"/>
      <c r="D23" s="22"/>
      <c r="E23" s="22"/>
      <c r="F23" s="22"/>
      <c r="G23" s="22"/>
      <c r="H23" s="22"/>
    </row>
    <row r="24" spans="1:8" ht="15">
      <c r="A24" s="22"/>
      <c r="B24" s="22"/>
      <c r="C24" s="22"/>
      <c r="D24" s="22"/>
      <c r="E24" s="22"/>
      <c r="F24" s="22"/>
      <c r="G24" s="22"/>
      <c r="H24" s="22"/>
    </row>
    <row r="25" spans="1:8" ht="15">
      <c r="A25" s="22"/>
      <c r="B25" s="22"/>
      <c r="C25" s="22"/>
      <c r="D25" s="22"/>
      <c r="E25" s="22"/>
      <c r="F25" s="22"/>
      <c r="G25" s="22"/>
      <c r="H25" s="22"/>
    </row>
    <row r="26" spans="1:8" ht="15">
      <c r="A26" s="22"/>
      <c r="B26" s="22"/>
      <c r="C26" s="22"/>
      <c r="D26" s="22"/>
      <c r="E26" s="22"/>
      <c r="F26" s="22"/>
      <c r="G26" s="22"/>
      <c r="H26" s="22"/>
    </row>
    <row r="27" spans="1:8" ht="15">
      <c r="A27" s="22"/>
      <c r="B27" s="22"/>
      <c r="C27" s="22"/>
      <c r="D27" s="22"/>
      <c r="E27" s="22"/>
      <c r="F27" s="22"/>
      <c r="G27" s="22"/>
      <c r="H27" s="22"/>
    </row>
    <row r="28" spans="1:8" ht="15">
      <c r="A28" s="22"/>
      <c r="B28" s="22"/>
      <c r="C28" s="22"/>
      <c r="D28" s="22"/>
      <c r="E28" s="22"/>
      <c r="F28" s="22"/>
      <c r="G28" s="22"/>
      <c r="H28" s="22"/>
    </row>
    <row r="29" spans="1:8" ht="15">
      <c r="A29" s="22"/>
      <c r="B29" s="22"/>
      <c r="C29" s="22"/>
      <c r="D29" s="22"/>
      <c r="E29" s="22"/>
      <c r="F29" s="22"/>
      <c r="G29" s="22"/>
      <c r="H29" s="22"/>
    </row>
    <row r="30" spans="1:8" ht="15">
      <c r="A30" s="22"/>
      <c r="B30" s="22"/>
      <c r="C30" s="22"/>
      <c r="D30" s="22"/>
      <c r="E30" s="22"/>
      <c r="F30" s="22"/>
      <c r="G30" s="22"/>
      <c r="H30" s="22"/>
    </row>
    <row r="31" spans="1:8" ht="15">
      <c r="A31" s="22"/>
      <c r="B31" s="22"/>
      <c r="C31" s="22"/>
      <c r="D31" s="22"/>
      <c r="E31" s="22"/>
      <c r="F31" s="22"/>
      <c r="G31" s="22"/>
      <c r="H31" s="22"/>
    </row>
    <row r="32" spans="1:8" ht="15">
      <c r="A32" s="22"/>
      <c r="B32" s="22"/>
      <c r="C32" s="22"/>
      <c r="D32" s="22"/>
      <c r="E32" s="22"/>
      <c r="F32" s="22"/>
      <c r="G32" s="22"/>
      <c r="H32" s="22"/>
    </row>
    <row r="33" spans="1:8" ht="15">
      <c r="A33" s="22"/>
      <c r="B33" s="22"/>
      <c r="C33" s="22"/>
      <c r="D33" s="22"/>
      <c r="E33" s="22"/>
      <c r="F33" s="22"/>
      <c r="G33" s="22"/>
      <c r="H33" s="22"/>
    </row>
  </sheetData>
  <mergeCells count="5">
    <mergeCell ref="E6:H6"/>
    <mergeCell ref="A1:H1"/>
    <mergeCell ref="D3:H3"/>
    <mergeCell ref="E4:H4"/>
    <mergeCell ref="E5: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Execution Data</vt:lpstr>
      <vt:lpstr>Defects</vt:lpstr>
      <vt:lpstr>Performance</vt:lpstr>
      <vt:lpstr>Compatibility</vt:lpstr>
      <vt:lpstr>Regression</vt:lpstr>
      <vt:lpstr>Checklist Summary</vt:lpstr>
      <vt:lpstr>Area Coverage</vt:lpstr>
      <vt:lpstr>Environment &amp; 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Sioaan</cp:lastModifiedBy>
  <dcterms:modified xsi:type="dcterms:W3CDTF">2026-09-21T15:14:17Z</dcterms:modified>
</cp:coreProperties>
</file>